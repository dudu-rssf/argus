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Resumo" sheetId="2" state="visible" r:id="rId2"/>
    <sheet name="Brasil" sheetId="3" state="visible" r:id="rId3"/>
    <sheet name="EUA" sheetId="4" state="visible" r:id="rId4"/>
    <sheet name="Central" sheetId="5" state="visible" r:id="rId5"/>
    <sheet name="Fontes" sheetId="6" state="visible" r:id="rId6"/>
  </sheets>
  <definedNames>
    <definedName name="_xlnm._FilterDatabase" localSheetId="2" hidden="1">'Brasil'!$A$5:$M$146</definedName>
    <definedName name="_xlnm._FilterDatabase" localSheetId="3" hidden="1">'EUA'!$A$5:$M$101</definedName>
    <definedName name="_xlnm._FilterDatabase" localSheetId="4" hidden="1">'Central'!$A$5:$F$17</definedName>
    <definedName name="_xlnm._FilterDatabase" localSheetId="5" hidden="1">'Fontes'!$A$5:$F$25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B1F3A"/>
      <sz val="16"/>
    </font>
    <font>
      <name val="Arial"/>
      <i val="1"/>
      <color rgb="005A6B82"/>
      <sz val="10"/>
    </font>
    <font>
      <name val="Arial"/>
      <b val="1"/>
      <sz val="10"/>
    </font>
    <font>
      <name val="Arial"/>
      <sz val="10"/>
    </font>
    <font>
      <name val="Arial"/>
      <b val="1"/>
      <color rgb="000B1F3A"/>
      <sz val="11"/>
    </font>
    <font>
      <name val="Arial"/>
      <b val="1"/>
      <color rgb="00FFFFFF"/>
      <sz val="10"/>
    </font>
    <font>
      <name val="Arial"/>
      <color rgb="005A6B82"/>
      <sz val="9"/>
    </font>
    <font>
      <name val="Arial"/>
      <b val="1"/>
      <color rgb="000B1F3A"/>
      <sz val="12"/>
    </font>
  </fonts>
  <fills count="11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D8EFDF"/>
      </patternFill>
    </fill>
    <fill>
      <patternFill patternType="solid">
        <fgColor rgb="00FFF4D1"/>
      </patternFill>
    </fill>
    <fill>
      <patternFill patternType="solid">
        <fgColor rgb="00FDE2CF"/>
      </patternFill>
    </fill>
    <fill>
      <patternFill patternType="solid">
        <fgColor rgb="00ECE6F5"/>
      </patternFill>
    </fill>
    <fill>
      <patternFill patternType="solid">
        <fgColor rgb="00F8D7DA"/>
      </patternFill>
    </fill>
    <fill>
      <patternFill patternType="solid">
        <fgColor rgb="00DCE8F7"/>
      </patternFill>
    </fill>
    <fill>
      <patternFill patternType="solid">
        <fgColor rgb="00EEEEEE"/>
      </patternFill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8" fillId="0" borderId="0" pivotButton="0" quotePrefix="0" xfId="0"/>
    <xf numFmtId="0" fontId="6" fillId="1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6" fillId="10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D8EFDF"/>
        </patternFill>
      </fill>
    </dxf>
    <dxf>
      <fill>
        <patternFill patternType="solid">
          <fgColor rgb="00FFF4D1"/>
        </patternFill>
      </fill>
    </dxf>
    <dxf>
      <fill>
        <patternFill patternType="solid">
          <fgColor rgb="00FDE2CF"/>
        </patternFill>
      </fill>
    </dxf>
    <dxf>
      <fill>
        <patternFill patternType="solid">
          <fgColor rgb="00ECE6F5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DCE8F7"/>
        </patternFill>
      </fill>
    </dxf>
    <dxf>
      <fill>
        <patternFill patternType="solid">
          <fgColor rgb="00EEEEEE"/>
        </patternFill>
      </fill>
    </dxf>
    <dxf>
      <font>
        <name val="Arial"/>
        <b val="1"/>
        <color rgb="000B1F3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26" customHeight="1">
      <c r="A1" s="1" t="inlineStr">
        <is>
          <t>Argus — Catálogo de Dados</t>
        </is>
      </c>
    </row>
    <row r="2">
      <c r="A2" s="2" t="inlineStr">
        <is>
          <t>Fonte única das séries de cada aba. Vira o arquivo de configuração do pipeline na Fase 1.</t>
        </is>
      </c>
    </row>
    <row r="3" ht="3" customHeight="1">
      <c r="A3" s="3" t="n"/>
      <c r="B3" s="3" t="n"/>
      <c r="C3" s="3" t="n"/>
    </row>
    <row r="5">
      <c r="A5" s="4" t="inlineStr">
        <is>
          <t>Como usar</t>
        </is>
      </c>
      <c r="B5" s="5" t="inlineStr"/>
    </row>
    <row r="6">
      <c r="A6" s="6" t="inlineStr">
        <is>
          <t>Brasil / EUA</t>
        </is>
      </c>
      <c r="B6" s="5" t="inlineStr">
        <is>
          <t>Uma linha por indicador. Filtre por Aba, Fase ou Status. As colunas Fase e Status têm lista suspensa e podem ser editadas.</t>
        </is>
      </c>
    </row>
    <row r="7">
      <c r="A7" s="6" t="inlineStr">
        <is>
          <t>Central</t>
        </is>
      </c>
      <c r="B7" s="5" t="inlineStr">
        <is>
          <t>Blocos da aba Central (Command Center) e do agregador de notícias.</t>
        </is>
      </c>
    </row>
    <row r="8">
      <c r="A8" s="6" t="inlineStr">
        <is>
          <t>Fontes</t>
        </is>
      </c>
      <c r="B8" s="5" t="inlineStr">
        <is>
          <t>Registro de cada fonte: acesso, autenticação, limites e risco técnico.</t>
        </is>
      </c>
    </row>
    <row r="9">
      <c r="A9" s="6" t="inlineStr">
        <is>
          <t>Resumo</t>
        </is>
      </c>
      <c r="B9" s="5" t="inlineStr">
        <is>
          <t>Contagens por aba, fase e status, calculadas por fórmula.</t>
        </is>
      </c>
    </row>
    <row r="10">
      <c r="A10" s="6" t="inlineStr"/>
      <c r="B10" s="5" t="inlineStr"/>
    </row>
    <row r="11">
      <c r="A11" s="4" t="inlineStr">
        <is>
          <t>Status</t>
        </is>
      </c>
      <c r="B11" s="5" t="inlineStr"/>
    </row>
    <row r="12">
      <c r="A12" s="7" t="inlineStr">
        <is>
          <t>Verificado</t>
        </is>
      </c>
      <c r="B12" s="5" t="inlineStr">
        <is>
          <t>Código conferido nesta sessão contra o portal oficial (título ou último valor).</t>
        </is>
      </c>
    </row>
    <row r="13">
      <c r="A13" s="8" t="inlineStr">
        <is>
          <t>Confirmar</t>
        </is>
      </c>
      <c r="B13" s="5" t="inlineStr">
        <is>
          <t>Código conhecido, ainda não conferido. A validação automática da Fase 0 confirma título e última observação.</t>
        </is>
      </c>
    </row>
    <row r="14">
      <c r="A14" s="9" t="inlineStr">
        <is>
          <t>A mapear</t>
        </is>
      </c>
      <c r="B14" s="5" t="inlineStr">
        <is>
          <t>Fonte definida, código ainda não localizado.</t>
        </is>
      </c>
    </row>
    <row r="15">
      <c r="A15" s="10" t="inlineStr">
        <is>
          <t>Sem API</t>
        </is>
      </c>
      <c r="B15" s="5" t="inlineStr">
        <is>
          <t>Dado gratuito, mas só por download manual ou PDF. Entra como carga manual ou fica para v2.</t>
        </is>
      </c>
    </row>
    <row r="16">
      <c r="A16" s="11" t="inlineStr">
        <is>
          <t>Pago</t>
        </is>
      </c>
      <c r="B16" s="5" t="inlineStr">
        <is>
          <t>Exige licença. A coluna Observação indica o substituto gratuito quando existe.</t>
        </is>
      </c>
    </row>
    <row r="17">
      <c r="A17" s="12" t="inlineStr">
        <is>
          <t>Derivado</t>
        </is>
      </c>
      <c r="B17" s="5" t="inlineStr">
        <is>
          <t>Calculado pelo Argus a partir de outras séries. A fórmula está em Código / endpoint.</t>
        </is>
      </c>
    </row>
    <row r="18">
      <c r="A18" s="13" t="inlineStr">
        <is>
          <t>Curado</t>
        </is>
      </c>
      <c r="B18" s="5" t="inlineStr">
        <is>
          <t>Tabela mantida manualmente (decisões do Copom, metas, pesquisas).</t>
        </is>
      </c>
    </row>
    <row r="19">
      <c r="A19" s="6" t="inlineStr"/>
      <c r="B19" s="5" t="inlineStr"/>
    </row>
    <row r="20">
      <c r="A20" s="4" t="inlineStr">
        <is>
          <t>Fase</t>
        </is>
      </c>
      <c r="B20" s="5" t="inlineStr"/>
    </row>
    <row r="21">
      <c r="A21" s="6" t="inlineStr">
        <is>
          <t>MVP</t>
        </is>
      </c>
      <c r="B21" s="5" t="inlineStr">
        <is>
          <t>Brasil + Central. Fontes oficiais com API, sem modelagem própria.</t>
        </is>
      </c>
    </row>
    <row r="22">
      <c r="A22" s="6" t="inlineStr">
        <is>
          <t>EUA</t>
        </is>
      </c>
      <c r="B22" s="5" t="inlineStr">
        <is>
          <t>Logo após o MVP: mesmo template de abas, quase tudo via FRED.</t>
        </is>
      </c>
    </row>
    <row r="23">
      <c r="A23" s="6" t="inlineStr">
        <is>
          <t>v2</t>
        </is>
      </c>
      <c r="B23" s="5" t="inlineStr">
        <is>
          <t>Fontes difíceis (B3, ANBIMA, pesquisas, texto) ou modelos próprios.</t>
        </is>
      </c>
    </row>
    <row r="24">
      <c r="A24" s="6" t="inlineStr">
        <is>
          <t>v3</t>
        </is>
      </c>
      <c r="B24" s="5" t="inlineStr">
        <is>
          <t>Projetos de maior risco: NLP de discursos, fluxo B3, balanços CVM.</t>
        </is>
      </c>
    </row>
    <row r="25">
      <c r="A25" s="6" t="inlineStr"/>
      <c r="B25" s="5" t="inlineStr"/>
    </row>
    <row r="26">
      <c r="A26" s="6" t="inlineStr">
        <is>
          <t>Tipo</t>
        </is>
      </c>
      <c r="B26" s="5" t="inlineStr">
        <is>
          <t>Define quais transformações o motor de gráfico oferece. Ex.: taxa nunca vira acumulado 12m; variação mensal é encadeada, não somada.</t>
        </is>
      </c>
    </row>
    <row r="27">
      <c r="A27" s="6" t="inlineStr">
        <is>
          <t>Data</t>
        </is>
      </c>
      <c r="B27" s="5" t="inlineStr">
        <is>
          <t>Planilha gerada a partir dos CSVs em docs/catalogo/. Edite os CSVs e rode o gerador; resultado da validação em validacao.md.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4" customWidth="1" min="7" max="7"/>
    <col width="14" customWidth="1" min="8" max="8"/>
    <col width="8" customWidth="1" min="9" max="9"/>
  </cols>
  <sheetData>
    <row r="1" ht="26" customHeight="1">
      <c r="A1" s="1" t="inlineStr">
        <is>
          <t>Resumo do catálogo</t>
        </is>
      </c>
    </row>
    <row r="2">
      <c r="A2" s="2" t="inlineStr">
        <is>
          <t>Contagens calculadas a partir das abas Brasil e EUA.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5">
      <c r="A5" s="14" t="inlineStr">
        <is>
          <t>Brasil</t>
        </is>
      </c>
    </row>
    <row r="6">
      <c r="A6" s="15" t="inlineStr">
        <is>
          <t>Aba</t>
        </is>
      </c>
      <c r="B6" s="15" t="inlineStr">
        <is>
          <t>MVP</t>
        </is>
      </c>
      <c r="C6" s="15" t="inlineStr">
        <is>
          <t>EUA</t>
        </is>
      </c>
      <c r="D6" s="15" t="inlineStr">
        <is>
          <t>v2</t>
        </is>
      </c>
      <c r="E6" s="15" t="inlineStr">
        <is>
          <t>v3</t>
        </is>
      </c>
      <c r="F6" s="15" t="inlineStr">
        <is>
          <t>Total</t>
        </is>
      </c>
      <c r="H6" s="15" t="inlineStr">
        <is>
          <t>Status</t>
        </is>
      </c>
      <c r="I6" s="15" t="inlineStr">
        <is>
          <t>Qtd</t>
        </is>
      </c>
    </row>
    <row r="7">
      <c r="A7" s="16" t="inlineStr">
        <is>
          <t>Atividade</t>
        </is>
      </c>
      <c r="B7" s="16">
        <f>COUNTIFS(Brasil!$B$6:$B$146,$A7,Brasil!$K$6:$K$146,"MVP")</f>
        <v/>
      </c>
      <c r="C7" s="16">
        <f>COUNTIFS(Brasil!$B$6:$B$146,$A7,Brasil!$K$6:$K$146,"EUA")</f>
        <v/>
      </c>
      <c r="D7" s="16">
        <f>COUNTIFS(Brasil!$B$6:$B$146,$A7,Brasil!$K$6:$K$146,"v2")</f>
        <v/>
      </c>
      <c r="E7" s="16">
        <f>COUNTIFS(Brasil!$B$6:$B$146,$A7,Brasil!$K$6:$K$146,"v3")</f>
        <v/>
      </c>
      <c r="F7" s="6">
        <f>SUM(B7:E7)</f>
        <v/>
      </c>
      <c r="H7" s="17" t="inlineStr">
        <is>
          <t>Verificado</t>
        </is>
      </c>
      <c r="I7" s="16">
        <f>COUNTIF(Brasil!$L$6:$L$146,H7)</f>
        <v/>
      </c>
    </row>
    <row r="8">
      <c r="A8" s="16" t="inlineStr">
        <is>
          <t>Mercado de Trabalho</t>
        </is>
      </c>
      <c r="B8" s="16">
        <f>COUNTIFS(Brasil!$B$6:$B$146,$A8,Brasil!$K$6:$K$146,"MVP")</f>
        <v/>
      </c>
      <c r="C8" s="16">
        <f>COUNTIFS(Brasil!$B$6:$B$146,$A8,Brasil!$K$6:$K$146,"EUA")</f>
        <v/>
      </c>
      <c r="D8" s="16">
        <f>COUNTIFS(Brasil!$B$6:$B$146,$A8,Brasil!$K$6:$K$146,"v2")</f>
        <v/>
      </c>
      <c r="E8" s="16">
        <f>COUNTIFS(Brasil!$B$6:$B$146,$A8,Brasil!$K$6:$K$146,"v3")</f>
        <v/>
      </c>
      <c r="F8" s="6">
        <f>SUM(B8:E8)</f>
        <v/>
      </c>
      <c r="H8" s="18" t="inlineStr">
        <is>
          <t>Confirmar</t>
        </is>
      </c>
      <c r="I8" s="16">
        <f>COUNTIF(Brasil!$L$6:$L$146,H8)</f>
        <v/>
      </c>
    </row>
    <row r="9">
      <c r="A9" s="16" t="inlineStr">
        <is>
          <t>Inflação</t>
        </is>
      </c>
      <c r="B9" s="16">
        <f>COUNTIFS(Brasil!$B$6:$B$146,$A9,Brasil!$K$6:$K$146,"MVP")</f>
        <v/>
      </c>
      <c r="C9" s="16">
        <f>COUNTIFS(Brasil!$B$6:$B$146,$A9,Brasil!$K$6:$K$146,"EUA")</f>
        <v/>
      </c>
      <c r="D9" s="16">
        <f>COUNTIFS(Brasil!$B$6:$B$146,$A9,Brasil!$K$6:$K$146,"v2")</f>
        <v/>
      </c>
      <c r="E9" s="16">
        <f>COUNTIFS(Brasil!$B$6:$B$146,$A9,Brasil!$K$6:$K$146,"v3")</f>
        <v/>
      </c>
      <c r="F9" s="6">
        <f>SUM(B9:E9)</f>
        <v/>
      </c>
      <c r="H9" s="19" t="inlineStr">
        <is>
          <t>A mapear</t>
        </is>
      </c>
      <c r="I9" s="16">
        <f>COUNTIF(Brasil!$L$6:$L$146,H9)</f>
        <v/>
      </c>
    </row>
    <row r="10">
      <c r="A10" s="16" t="inlineStr">
        <is>
          <t>Política Monetária</t>
        </is>
      </c>
      <c r="B10" s="16">
        <f>COUNTIFS(Brasil!$B$6:$B$146,$A10,Brasil!$K$6:$K$146,"MVP")</f>
        <v/>
      </c>
      <c r="C10" s="16">
        <f>COUNTIFS(Brasil!$B$6:$B$146,$A10,Brasil!$K$6:$K$146,"EUA")</f>
        <v/>
      </c>
      <c r="D10" s="16">
        <f>COUNTIFS(Brasil!$B$6:$B$146,$A10,Brasil!$K$6:$K$146,"v2")</f>
        <v/>
      </c>
      <c r="E10" s="16">
        <f>COUNTIFS(Brasil!$B$6:$B$146,$A10,Brasil!$K$6:$K$146,"v3")</f>
        <v/>
      </c>
      <c r="F10" s="6">
        <f>SUM(B10:E10)</f>
        <v/>
      </c>
      <c r="H10" s="20" t="inlineStr">
        <is>
          <t>Sem API</t>
        </is>
      </c>
      <c r="I10" s="16">
        <f>COUNTIF(Brasil!$L$6:$L$146,H10)</f>
        <v/>
      </c>
    </row>
    <row r="11">
      <c r="A11" s="16" t="inlineStr">
        <is>
          <t>Fiscal</t>
        </is>
      </c>
      <c r="B11" s="16">
        <f>COUNTIFS(Brasil!$B$6:$B$146,$A11,Brasil!$K$6:$K$146,"MVP")</f>
        <v/>
      </c>
      <c r="C11" s="16">
        <f>COUNTIFS(Brasil!$B$6:$B$146,$A11,Brasil!$K$6:$K$146,"EUA")</f>
        <v/>
      </c>
      <c r="D11" s="16">
        <f>COUNTIFS(Brasil!$B$6:$B$146,$A11,Brasil!$K$6:$K$146,"v2")</f>
        <v/>
      </c>
      <c r="E11" s="16">
        <f>COUNTIFS(Brasil!$B$6:$B$146,$A11,Brasil!$K$6:$K$146,"v3")</f>
        <v/>
      </c>
      <c r="F11" s="6">
        <f>SUM(B11:E11)</f>
        <v/>
      </c>
      <c r="H11" s="21" t="inlineStr">
        <is>
          <t>Pago</t>
        </is>
      </c>
      <c r="I11" s="16">
        <f>COUNTIF(Brasil!$L$6:$L$146,H11)</f>
        <v/>
      </c>
    </row>
    <row r="12">
      <c r="A12" s="16" t="inlineStr">
        <is>
          <t>Setor Externo</t>
        </is>
      </c>
      <c r="B12" s="16">
        <f>COUNTIFS(Brasil!$B$6:$B$146,$A12,Brasil!$K$6:$K$146,"MVP")</f>
        <v/>
      </c>
      <c r="C12" s="16">
        <f>COUNTIFS(Brasil!$B$6:$B$146,$A12,Brasil!$K$6:$K$146,"EUA")</f>
        <v/>
      </c>
      <c r="D12" s="16">
        <f>COUNTIFS(Brasil!$B$6:$B$146,$A12,Brasil!$K$6:$K$146,"v2")</f>
        <v/>
      </c>
      <c r="E12" s="16">
        <f>COUNTIFS(Brasil!$B$6:$B$146,$A12,Brasil!$K$6:$K$146,"v3")</f>
        <v/>
      </c>
      <c r="F12" s="6">
        <f>SUM(B12:E12)</f>
        <v/>
      </c>
      <c r="H12" s="22" t="inlineStr">
        <is>
          <t>Derivado</t>
        </is>
      </c>
      <c r="I12" s="16">
        <f>COUNTIF(Brasil!$L$6:$L$146,H12)</f>
        <v/>
      </c>
    </row>
    <row r="13">
      <c r="A13" s="16" t="inlineStr">
        <is>
          <t>Famílias</t>
        </is>
      </c>
      <c r="B13" s="16">
        <f>COUNTIFS(Brasil!$B$6:$B$146,$A13,Brasil!$K$6:$K$146,"MVP")</f>
        <v/>
      </c>
      <c r="C13" s="16">
        <f>COUNTIFS(Brasil!$B$6:$B$146,$A13,Brasil!$K$6:$K$146,"EUA")</f>
        <v/>
      </c>
      <c r="D13" s="16">
        <f>COUNTIFS(Brasil!$B$6:$B$146,$A13,Brasil!$K$6:$K$146,"v2")</f>
        <v/>
      </c>
      <c r="E13" s="16">
        <f>COUNTIFS(Brasil!$B$6:$B$146,$A13,Brasil!$K$6:$K$146,"v3")</f>
        <v/>
      </c>
      <c r="F13" s="6">
        <f>SUM(B13:E13)</f>
        <v/>
      </c>
      <c r="H13" s="23" t="inlineStr">
        <is>
          <t>Curado</t>
        </is>
      </c>
      <c r="I13" s="16">
        <f>COUNTIF(Brasil!$L$6:$L$146,H13)</f>
        <v/>
      </c>
    </row>
    <row r="14">
      <c r="A14" s="16" t="inlineStr">
        <is>
          <t>Empresas</t>
        </is>
      </c>
      <c r="B14" s="16">
        <f>COUNTIFS(Brasil!$B$6:$B$146,$A14,Brasil!$K$6:$K$146,"MVP")</f>
        <v/>
      </c>
      <c r="C14" s="16">
        <f>COUNTIFS(Brasil!$B$6:$B$146,$A14,Brasil!$K$6:$K$146,"EUA")</f>
        <v/>
      </c>
      <c r="D14" s="16">
        <f>COUNTIFS(Brasil!$B$6:$B$146,$A14,Brasil!$K$6:$K$146,"v2")</f>
        <v/>
      </c>
      <c r="E14" s="16">
        <f>COUNTIFS(Brasil!$B$6:$B$146,$A14,Brasil!$K$6:$K$146,"v3")</f>
        <v/>
      </c>
      <c r="F14" s="6">
        <f>SUM(B14:E14)</f>
        <v/>
      </c>
    </row>
    <row r="15">
      <c r="A15" s="16" t="inlineStr">
        <is>
          <t>Mercado &amp; Risco</t>
        </is>
      </c>
      <c r="B15" s="16">
        <f>COUNTIFS(Brasil!$B$6:$B$146,$A15,Brasil!$K$6:$K$146,"MVP")</f>
        <v/>
      </c>
      <c r="C15" s="16">
        <f>COUNTIFS(Brasil!$B$6:$B$146,$A15,Brasil!$K$6:$K$146,"EUA")</f>
        <v/>
      </c>
      <c r="D15" s="16">
        <f>COUNTIFS(Brasil!$B$6:$B$146,$A15,Brasil!$K$6:$K$146,"v2")</f>
        <v/>
      </c>
      <c r="E15" s="16">
        <f>COUNTIFS(Brasil!$B$6:$B$146,$A15,Brasil!$K$6:$K$146,"v3")</f>
        <v/>
      </c>
      <c r="F15" s="6">
        <f>SUM(B15:E15)</f>
        <v/>
      </c>
    </row>
    <row r="16">
      <c r="A16" s="16" t="inlineStr">
        <is>
          <t>Política</t>
        </is>
      </c>
      <c r="B16" s="16">
        <f>COUNTIFS(Brasil!$B$6:$B$146,$A16,Brasil!$K$6:$K$146,"MVP")</f>
        <v/>
      </c>
      <c r="C16" s="16">
        <f>COUNTIFS(Brasil!$B$6:$B$146,$A16,Brasil!$K$6:$K$146,"EUA")</f>
        <v/>
      </c>
      <c r="D16" s="16">
        <f>COUNTIFS(Brasil!$B$6:$B$146,$A16,Brasil!$K$6:$K$146,"v2")</f>
        <v/>
      </c>
      <c r="E16" s="16">
        <f>COUNTIFS(Brasil!$B$6:$B$146,$A16,Brasil!$K$6:$K$146,"v3")</f>
        <v/>
      </c>
      <c r="F16" s="6">
        <f>SUM(B16:E16)</f>
        <v/>
      </c>
    </row>
    <row r="17">
      <c r="A17" s="16" t="inlineStr">
        <is>
          <t>Análises</t>
        </is>
      </c>
      <c r="B17" s="16">
        <f>COUNTIFS(Brasil!$B$6:$B$146,$A17,Brasil!$K$6:$K$146,"MVP")</f>
        <v/>
      </c>
      <c r="C17" s="16">
        <f>COUNTIFS(Brasil!$B$6:$B$146,$A17,Brasil!$K$6:$K$146,"EUA")</f>
        <v/>
      </c>
      <c r="D17" s="16">
        <f>COUNTIFS(Brasil!$B$6:$B$146,$A17,Brasil!$K$6:$K$146,"v2")</f>
        <v/>
      </c>
      <c r="E17" s="16">
        <f>COUNTIFS(Brasil!$B$6:$B$146,$A17,Brasil!$K$6:$K$146,"v3")</f>
        <v/>
      </c>
      <c r="F17" s="6">
        <f>SUM(B17:E17)</f>
        <v/>
      </c>
    </row>
    <row r="18">
      <c r="A18" s="16" t="inlineStr">
        <is>
          <t>Central</t>
        </is>
      </c>
      <c r="B18" s="16">
        <f>COUNTIFS(Brasil!$B$6:$B$146,$A18,Brasil!$K$6:$K$146,"MVP")</f>
        <v/>
      </c>
      <c r="C18" s="16">
        <f>COUNTIFS(Brasil!$B$6:$B$146,$A18,Brasil!$K$6:$K$146,"EUA")</f>
        <v/>
      </c>
      <c r="D18" s="16">
        <f>COUNTIFS(Brasil!$B$6:$B$146,$A18,Brasil!$K$6:$K$146,"v2")</f>
        <v/>
      </c>
      <c r="E18" s="16">
        <f>COUNTIFS(Brasil!$B$6:$B$146,$A18,Brasil!$K$6:$K$146,"v3")</f>
        <v/>
      </c>
      <c r="F18" s="6">
        <f>SUM(B18:E18)</f>
        <v/>
      </c>
    </row>
    <row r="19">
      <c r="A19" s="6" t="inlineStr">
        <is>
          <t>Total</t>
        </is>
      </c>
      <c r="B19" s="6">
        <f>SUM(B7:B18)</f>
        <v/>
      </c>
      <c r="C19" s="6">
        <f>SUM(C7:C18)</f>
        <v/>
      </c>
      <c r="D19" s="6">
        <f>SUM(D7:D18)</f>
        <v/>
      </c>
      <c r="E19" s="6">
        <f>SUM(E7:E18)</f>
        <v/>
      </c>
      <c r="F19" s="6">
        <f>SUM(F7:F18)</f>
        <v/>
      </c>
    </row>
    <row r="21">
      <c r="A21" s="14" t="inlineStr">
        <is>
          <t>EUA</t>
        </is>
      </c>
    </row>
    <row r="22">
      <c r="A22" s="15" t="inlineStr">
        <is>
          <t>Aba</t>
        </is>
      </c>
      <c r="B22" s="15" t="inlineStr">
        <is>
          <t>MVP</t>
        </is>
      </c>
      <c r="C22" s="15" t="inlineStr">
        <is>
          <t>EUA</t>
        </is>
      </c>
      <c r="D22" s="15" t="inlineStr">
        <is>
          <t>v2</t>
        </is>
      </c>
      <c r="E22" s="15" t="inlineStr">
        <is>
          <t>v3</t>
        </is>
      </c>
      <c r="F22" s="15" t="inlineStr">
        <is>
          <t>Total</t>
        </is>
      </c>
      <c r="H22" s="15" t="inlineStr">
        <is>
          <t>Status</t>
        </is>
      </c>
      <c r="I22" s="15" t="inlineStr">
        <is>
          <t>Qtd</t>
        </is>
      </c>
    </row>
    <row r="23">
      <c r="A23" s="16" t="inlineStr">
        <is>
          <t>Mercado de Trabalho</t>
        </is>
      </c>
      <c r="B23" s="16">
        <f>COUNTIFS(EUA!$B$6:$B$101,$A23,EUA!$K$6:$K$101,"MVP")</f>
        <v/>
      </c>
      <c r="C23" s="16">
        <f>COUNTIFS(EUA!$B$6:$B$101,$A23,EUA!$K$6:$K$101,"EUA")</f>
        <v/>
      </c>
      <c r="D23" s="16">
        <f>COUNTIFS(EUA!$B$6:$B$101,$A23,EUA!$K$6:$K$101,"v2")</f>
        <v/>
      </c>
      <c r="E23" s="16">
        <f>COUNTIFS(EUA!$B$6:$B$101,$A23,EUA!$K$6:$K$101,"v3")</f>
        <v/>
      </c>
      <c r="F23" s="6">
        <f>SUM(B23:E23)</f>
        <v/>
      </c>
      <c r="H23" s="17" t="inlineStr">
        <is>
          <t>Verificado</t>
        </is>
      </c>
      <c r="I23" s="16">
        <f>COUNTIF(EUA!$L$6:$L$101,H23)</f>
        <v/>
      </c>
    </row>
    <row r="24">
      <c r="A24" s="16" t="inlineStr">
        <is>
          <t>Inflação</t>
        </is>
      </c>
      <c r="B24" s="16">
        <f>COUNTIFS(EUA!$B$6:$B$101,$A24,EUA!$K$6:$K$101,"MVP")</f>
        <v/>
      </c>
      <c r="C24" s="16">
        <f>COUNTIFS(EUA!$B$6:$B$101,$A24,EUA!$K$6:$K$101,"EUA")</f>
        <v/>
      </c>
      <c r="D24" s="16">
        <f>COUNTIFS(EUA!$B$6:$B$101,$A24,EUA!$K$6:$K$101,"v2")</f>
        <v/>
      </c>
      <c r="E24" s="16">
        <f>COUNTIFS(EUA!$B$6:$B$101,$A24,EUA!$K$6:$K$101,"v3")</f>
        <v/>
      </c>
      <c r="F24" s="6">
        <f>SUM(B24:E24)</f>
        <v/>
      </c>
      <c r="H24" s="18" t="inlineStr">
        <is>
          <t>Confirmar</t>
        </is>
      </c>
      <c r="I24" s="16">
        <f>COUNTIF(EUA!$L$6:$L$101,H24)</f>
        <v/>
      </c>
    </row>
    <row r="25">
      <c r="A25" s="16" t="inlineStr">
        <is>
          <t>Atividade</t>
        </is>
      </c>
      <c r="B25" s="16">
        <f>COUNTIFS(EUA!$B$6:$B$101,$A25,EUA!$K$6:$K$101,"MVP")</f>
        <v/>
      </c>
      <c r="C25" s="16">
        <f>COUNTIFS(EUA!$B$6:$B$101,$A25,EUA!$K$6:$K$101,"EUA")</f>
        <v/>
      </c>
      <c r="D25" s="16">
        <f>COUNTIFS(EUA!$B$6:$B$101,$A25,EUA!$K$6:$K$101,"v2")</f>
        <v/>
      </c>
      <c r="E25" s="16">
        <f>COUNTIFS(EUA!$B$6:$B$101,$A25,EUA!$K$6:$K$101,"v3")</f>
        <v/>
      </c>
      <c r="F25" s="6">
        <f>SUM(B25:E25)</f>
        <v/>
      </c>
      <c r="H25" s="19" t="inlineStr">
        <is>
          <t>A mapear</t>
        </is>
      </c>
      <c r="I25" s="16">
        <f>COUNTIF(EUA!$L$6:$L$101,H25)</f>
        <v/>
      </c>
    </row>
    <row r="26">
      <c r="A26" s="16" t="inlineStr">
        <is>
          <t>Fed &amp; Juros</t>
        </is>
      </c>
      <c r="B26" s="16">
        <f>COUNTIFS(EUA!$B$6:$B$101,$A26,EUA!$K$6:$K$101,"MVP")</f>
        <v/>
      </c>
      <c r="C26" s="16">
        <f>COUNTIFS(EUA!$B$6:$B$101,$A26,EUA!$K$6:$K$101,"EUA")</f>
        <v/>
      </c>
      <c r="D26" s="16">
        <f>COUNTIFS(EUA!$B$6:$B$101,$A26,EUA!$K$6:$K$101,"v2")</f>
        <v/>
      </c>
      <c r="E26" s="16">
        <f>COUNTIFS(EUA!$B$6:$B$101,$A26,EUA!$K$6:$K$101,"v3")</f>
        <v/>
      </c>
      <c r="F26" s="6">
        <f>SUM(B26:E26)</f>
        <v/>
      </c>
      <c r="H26" s="20" t="inlineStr">
        <is>
          <t>Sem API</t>
        </is>
      </c>
      <c r="I26" s="16">
        <f>COUNTIF(EUA!$L$6:$L$101,H26)</f>
        <v/>
      </c>
    </row>
    <row r="27">
      <c r="A27" s="16" t="inlineStr">
        <is>
          <t>Imobiliário</t>
        </is>
      </c>
      <c r="B27" s="16">
        <f>COUNTIFS(EUA!$B$6:$B$101,$A27,EUA!$K$6:$K$101,"MVP")</f>
        <v/>
      </c>
      <c r="C27" s="16">
        <f>COUNTIFS(EUA!$B$6:$B$101,$A27,EUA!$K$6:$K$101,"EUA")</f>
        <v/>
      </c>
      <c r="D27" s="16">
        <f>COUNTIFS(EUA!$B$6:$B$101,$A27,EUA!$K$6:$K$101,"v2")</f>
        <v/>
      </c>
      <c r="E27" s="16">
        <f>COUNTIFS(EUA!$B$6:$B$101,$A27,EUA!$K$6:$K$101,"v3")</f>
        <v/>
      </c>
      <c r="F27" s="6">
        <f>SUM(B27:E27)</f>
        <v/>
      </c>
      <c r="H27" s="21" t="inlineStr">
        <is>
          <t>Pago</t>
        </is>
      </c>
      <c r="I27" s="16">
        <f>COUNTIF(EUA!$L$6:$L$101,H27)</f>
        <v/>
      </c>
    </row>
    <row r="28">
      <c r="A28" s="16" t="inlineStr">
        <is>
          <t>Consumidor</t>
        </is>
      </c>
      <c r="B28" s="16">
        <f>COUNTIFS(EUA!$B$6:$B$101,$A28,EUA!$K$6:$K$101,"MVP")</f>
        <v/>
      </c>
      <c r="C28" s="16">
        <f>COUNTIFS(EUA!$B$6:$B$101,$A28,EUA!$K$6:$K$101,"EUA")</f>
        <v/>
      </c>
      <c r="D28" s="16">
        <f>COUNTIFS(EUA!$B$6:$B$101,$A28,EUA!$K$6:$K$101,"v2")</f>
        <v/>
      </c>
      <c r="E28" s="16">
        <f>COUNTIFS(EUA!$B$6:$B$101,$A28,EUA!$K$6:$K$101,"v3")</f>
        <v/>
      </c>
      <c r="F28" s="6">
        <f>SUM(B28:E28)</f>
        <v/>
      </c>
      <c r="H28" s="22" t="inlineStr">
        <is>
          <t>Derivado</t>
        </is>
      </c>
      <c r="I28" s="16">
        <f>COUNTIF(EUA!$L$6:$L$101,H28)</f>
        <v/>
      </c>
    </row>
    <row r="29">
      <c r="A29" s="16" t="inlineStr">
        <is>
          <t>Corporativo</t>
        </is>
      </c>
      <c r="B29" s="16">
        <f>COUNTIFS(EUA!$B$6:$B$101,$A29,EUA!$K$6:$K$101,"MVP")</f>
        <v/>
      </c>
      <c r="C29" s="16">
        <f>COUNTIFS(EUA!$B$6:$B$101,$A29,EUA!$K$6:$K$101,"EUA")</f>
        <v/>
      </c>
      <c r="D29" s="16">
        <f>COUNTIFS(EUA!$B$6:$B$101,$A29,EUA!$K$6:$K$101,"v2")</f>
        <v/>
      </c>
      <c r="E29" s="16">
        <f>COUNTIFS(EUA!$B$6:$B$101,$A29,EUA!$K$6:$K$101,"v3")</f>
        <v/>
      </c>
      <c r="F29" s="6">
        <f>SUM(B29:E29)</f>
        <v/>
      </c>
      <c r="H29" s="23" t="inlineStr">
        <is>
          <t>Curado</t>
        </is>
      </c>
      <c r="I29" s="16">
        <f>COUNTIF(EUA!$L$6:$L$101,H29)</f>
        <v/>
      </c>
    </row>
    <row r="30">
      <c r="A30" s="16" t="inlineStr">
        <is>
          <t>Setor Externo &amp; Fiscal</t>
        </is>
      </c>
      <c r="B30" s="16">
        <f>COUNTIFS(EUA!$B$6:$B$101,$A30,EUA!$K$6:$K$101,"MVP")</f>
        <v/>
      </c>
      <c r="C30" s="16">
        <f>COUNTIFS(EUA!$B$6:$B$101,$A30,EUA!$K$6:$K$101,"EUA")</f>
        <v/>
      </c>
      <c r="D30" s="16">
        <f>COUNTIFS(EUA!$B$6:$B$101,$A30,EUA!$K$6:$K$101,"v2")</f>
        <v/>
      </c>
      <c r="E30" s="16">
        <f>COUNTIFS(EUA!$B$6:$B$101,$A30,EUA!$K$6:$K$101,"v3")</f>
        <v/>
      </c>
      <c r="F30" s="6">
        <f>SUM(B30:E30)</f>
        <v/>
      </c>
    </row>
    <row r="31">
      <c r="A31" s="16" t="inlineStr">
        <is>
          <t>Risco &amp; Mercado</t>
        </is>
      </c>
      <c r="B31" s="16">
        <f>COUNTIFS(EUA!$B$6:$B$101,$A31,EUA!$K$6:$K$101,"MVP")</f>
        <v/>
      </c>
      <c r="C31" s="16">
        <f>COUNTIFS(EUA!$B$6:$B$101,$A31,EUA!$K$6:$K$101,"EUA")</f>
        <v/>
      </c>
      <c r="D31" s="16">
        <f>COUNTIFS(EUA!$B$6:$B$101,$A31,EUA!$K$6:$K$101,"v2")</f>
        <v/>
      </c>
      <c r="E31" s="16">
        <f>COUNTIFS(EUA!$B$6:$B$101,$A31,EUA!$K$6:$K$101,"v3")</f>
        <v/>
      </c>
      <c r="F31" s="6">
        <f>SUM(B31:E31)</f>
        <v/>
      </c>
    </row>
    <row r="32">
      <c r="A32" s="6" t="inlineStr">
        <is>
          <t>Total</t>
        </is>
      </c>
      <c r="B32" s="6">
        <f>SUM(B23:B31)</f>
        <v/>
      </c>
      <c r="C32" s="6">
        <f>SUM(C23:C31)</f>
        <v/>
      </c>
      <c r="D32" s="6">
        <f>SUM(D23:D31)</f>
        <v/>
      </c>
      <c r="E32" s="6">
        <f>SUM(E23:E31)</f>
        <v/>
      </c>
      <c r="F32" s="6">
        <f>SUM(F23:F31)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42" customWidth="1" min="4" max="4"/>
    <col width="20" customWidth="1" min="5" max="5"/>
    <col width="30" customWidth="1" min="6" max="6"/>
    <col width="14" customWidth="1" min="7" max="7"/>
    <col width="11" customWidth="1" min="8" max="8"/>
    <col width="12" customWidth="1" min="9" max="9"/>
    <col width="34" customWidth="1" min="10" max="10"/>
    <col width="7" customWidth="1" min="11" max="11"/>
    <col width="12" customWidth="1" min="12" max="12"/>
    <col width="40" customWidth="1" min="13" max="13"/>
  </cols>
  <sheetData>
    <row r="1" ht="26" customHeight="1">
      <c r="A1" s="1" t="inlineStr">
        <is>
          <t>Brasil — catálogo de séries</t>
        </is>
      </c>
    </row>
    <row r="2">
      <c r="A2" s="2" t="inlineStr">
        <is>
          <t>Subabas da aba Brasil. Foco do MVP.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5" ht="28" customHeight="1">
      <c r="A5" s="24" t="inlineStr">
        <is>
          <t>ID</t>
        </is>
      </c>
      <c r="B5" s="24" t="inlineStr">
        <is>
          <t>Aba</t>
        </is>
      </c>
      <c r="C5" s="24" t="inlineStr">
        <is>
          <t>Bloco</t>
        </is>
      </c>
      <c r="D5" s="24" t="inlineStr">
        <is>
          <t>Indicador</t>
        </is>
      </c>
      <c r="E5" s="24" t="inlineStr">
        <is>
          <t>Fonte</t>
        </is>
      </c>
      <c r="F5" s="24" t="inlineStr">
        <is>
          <t>Código / endpoint</t>
        </is>
      </c>
      <c r="G5" s="24" t="inlineStr">
        <is>
          <t>Frequência</t>
        </is>
      </c>
      <c r="H5" s="24" t="inlineStr">
        <is>
          <t>Unidade</t>
        </is>
      </c>
      <c r="I5" s="24" t="inlineStr">
        <is>
          <t>Tipo</t>
        </is>
      </c>
      <c r="J5" s="24" t="inlineStr">
        <is>
          <t>Transformações válidas</t>
        </is>
      </c>
      <c r="K5" s="24" t="inlineStr">
        <is>
          <t>Fase</t>
        </is>
      </c>
      <c r="L5" s="24" t="inlineStr">
        <is>
          <t>Status</t>
        </is>
      </c>
      <c r="M5" s="24" t="inlineStr">
        <is>
          <t>Observação</t>
        </is>
      </c>
    </row>
    <row r="6">
      <c r="A6" s="25" t="inlineStr">
        <is>
          <t>BR-001</t>
        </is>
      </c>
      <c r="B6" s="26" t="inlineStr">
        <is>
          <t>Atividade</t>
        </is>
      </c>
      <c r="C6" s="26" t="inlineStr">
        <is>
          <t>PIB</t>
        </is>
      </c>
      <c r="D6" s="27" t="inlineStr">
        <is>
          <t>PIB real — índice de volume (SA)</t>
        </is>
      </c>
      <c r="E6" s="26" t="inlineStr">
        <is>
          <t>IBGE SIDRA</t>
        </is>
      </c>
      <c r="F6" s="26" t="inlineStr">
        <is>
          <t>t1621/v584/c11255=90707</t>
        </is>
      </c>
      <c r="G6" s="26" t="inlineStr">
        <is>
          <t>Trimestral</t>
        </is>
      </c>
      <c r="H6" s="26" t="inlineStr">
        <is>
          <t>Índice</t>
        </is>
      </c>
      <c r="I6" s="26" t="inlineStr">
        <is>
          <t>Índice</t>
        </is>
      </c>
      <c r="J6" s="26" t="inlineStr">
        <is>
          <t>Nível, MoM, QoQ, YoY, acum. 3/6/9/12m, 3m/6m SAAR, real/nominal</t>
        </is>
      </c>
      <c r="K6" s="26" t="inlineStr">
        <is>
          <t>MVP</t>
        </is>
      </c>
      <c r="L6" s="26" t="inlineStr">
        <is>
          <t>Verificado</t>
        </is>
      </c>
      <c r="M6" s="26" t="inlineStr">
        <is>
          <t>Série encadeada com ajuste sazonal; base para QoQ SAAR</t>
        </is>
      </c>
    </row>
    <row r="7">
      <c r="A7" s="25" t="inlineStr">
        <is>
          <t>BR-002</t>
        </is>
      </c>
      <c r="B7" s="26" t="inlineStr">
        <is>
          <t>Atividade</t>
        </is>
      </c>
      <c r="C7" s="26" t="inlineStr">
        <is>
          <t>PIB</t>
        </is>
      </c>
      <c r="D7" s="27" t="inlineStr">
        <is>
          <t>PIB real — taxas (QoQ, YoY, acum. 4T)</t>
        </is>
      </c>
      <c r="E7" s="26" t="inlineStr">
        <is>
          <t>IBGE SIDRA</t>
        </is>
      </c>
      <c r="F7" s="26" t="inlineStr">
        <is>
          <t>t5932/v6561,6562,6564/c11255=90707</t>
        </is>
      </c>
      <c r="G7" s="26" t="inlineStr">
        <is>
          <t>Trimestral</t>
        </is>
      </c>
      <c r="H7" s="26" t="inlineStr">
        <is>
          <t>%</t>
        </is>
      </c>
      <c r="I7" s="26" t="inlineStr">
        <is>
          <t>Taxa</t>
        </is>
      </c>
      <c r="J7" s="26" t="inlineStr">
        <is>
          <t>Nível, Δ p.p. (MoM, YoY, 3/6/12m)</t>
        </is>
      </c>
      <c r="K7" s="26" t="inlineStr">
        <is>
          <t>MVP</t>
        </is>
      </c>
      <c r="L7" s="26" t="inlineStr">
        <is>
          <t>Verificado</t>
        </is>
      </c>
      <c r="M7" s="26" t="inlineStr">
        <is>
          <t>Taxas oficiais; usar para conferir cálculo próprio</t>
        </is>
      </c>
    </row>
    <row r="8">
      <c r="A8" s="25" t="inlineStr">
        <is>
          <t>BR-003</t>
        </is>
      </c>
      <c r="B8" s="26" t="inlineStr">
        <is>
          <t>Atividade</t>
        </is>
      </c>
      <c r="C8" s="26" t="inlineStr">
        <is>
          <t>PIB</t>
        </is>
      </c>
      <c r="D8" s="27" t="inlineStr">
        <is>
          <t>PIB — ótica da oferta (agro, indústria, serviços)</t>
        </is>
      </c>
      <c r="E8" s="26" t="inlineStr">
        <is>
          <t>IBGE SIDRA</t>
        </is>
      </c>
      <c r="F8" s="26" t="inlineStr">
        <is>
          <t>t1621/v584/c11255=90687,90691,90696</t>
        </is>
      </c>
      <c r="G8" s="26" t="inlineStr">
        <is>
          <t>Trimestral</t>
        </is>
      </c>
      <c r="H8" s="26" t="inlineStr">
        <is>
          <t>Índice</t>
        </is>
      </c>
      <c r="I8" s="26" t="inlineStr">
        <is>
          <t>Índice</t>
        </is>
      </c>
      <c r="J8" s="26" t="inlineStr">
        <is>
          <t>Nível, MoM, QoQ, YoY, acum. 3/6/9/12m, 3m/6m SAAR, real/nominal</t>
        </is>
      </c>
      <c r="K8" s="26" t="inlineStr">
        <is>
          <t>MVP</t>
        </is>
      </c>
      <c r="L8" s="26" t="inlineStr">
        <is>
          <t>Verificado</t>
        </is>
      </c>
      <c r="M8" s="26" t="inlineStr"/>
    </row>
    <row r="9">
      <c r="A9" s="25" t="inlineStr">
        <is>
          <t>BR-004</t>
        </is>
      </c>
      <c r="B9" s="26" t="inlineStr">
        <is>
          <t>Atividade</t>
        </is>
      </c>
      <c r="C9" s="26" t="inlineStr">
        <is>
          <t>PIB</t>
        </is>
      </c>
      <c r="D9" s="27" t="inlineStr">
        <is>
          <t>PIB — ótica da demanda (C, G, FBCF, X, M)</t>
        </is>
      </c>
      <c r="E9" s="26" t="inlineStr">
        <is>
          <t>IBGE SIDRA</t>
        </is>
      </c>
      <c r="F9" s="26" t="inlineStr">
        <is>
          <t>t1621/v584/c11255=93404,93405,93406,93407,93408</t>
        </is>
      </c>
      <c r="G9" s="26" t="inlineStr">
        <is>
          <t>Trimestral</t>
        </is>
      </c>
      <c r="H9" s="26" t="inlineStr">
        <is>
          <t>Índice</t>
        </is>
      </c>
      <c r="I9" s="26" t="inlineStr">
        <is>
          <t>Índice</t>
        </is>
      </c>
      <c r="J9" s="26" t="inlineStr">
        <is>
          <t>Nível, MoM, QoQ, YoY, acum. 3/6/9/12m, 3m/6m SAAR, real/nominal</t>
        </is>
      </c>
      <c r="K9" s="26" t="inlineStr">
        <is>
          <t>MVP</t>
        </is>
      </c>
      <c r="L9" s="26" t="inlineStr">
        <is>
          <t>Verificado</t>
        </is>
      </c>
      <c r="M9" s="26" t="inlineStr">
        <is>
          <t>Consumo das famílias também alimenta a aba Famílias</t>
        </is>
      </c>
    </row>
    <row r="10">
      <c r="A10" s="25" t="inlineStr">
        <is>
          <t>BR-005</t>
        </is>
      </c>
      <c r="B10" s="26" t="inlineStr">
        <is>
          <t>Atividade</t>
        </is>
      </c>
      <c r="C10" s="26" t="inlineStr">
        <is>
          <t>PIB</t>
        </is>
      </c>
      <c r="D10" s="27" t="inlineStr">
        <is>
          <t>PIB nominal acumulado 12m (R$)</t>
        </is>
      </c>
      <c r="E10" s="26" t="inlineStr">
        <is>
          <t>BCB SGS</t>
        </is>
      </c>
      <c r="F10" s="26" t="inlineStr">
        <is>
          <t>4382</t>
        </is>
      </c>
      <c r="G10" s="26" t="inlineStr">
        <is>
          <t>Mensal</t>
        </is>
      </c>
      <c r="H10" s="26" t="inlineStr">
        <is>
          <t>R$ mi</t>
        </is>
      </c>
      <c r="I10" s="26" t="inlineStr">
        <is>
          <t>Fluxo</t>
        </is>
      </c>
      <c r="J10" s="26" t="inlineStr">
        <is>
          <t>Nível, soma 3/12m, MoM % (SA), YoY %, real/nominal, % PIB</t>
        </is>
      </c>
      <c r="K10" s="26" t="inlineStr">
        <is>
          <t>MVP</t>
        </is>
      </c>
      <c r="L10" s="26" t="inlineStr">
        <is>
          <t>Verificado</t>
        </is>
      </c>
      <c r="M10" s="26" t="inlineStr">
        <is>
          <t>Denominador de todas as razões % PIB</t>
        </is>
      </c>
    </row>
    <row r="11">
      <c r="A11" s="25" t="inlineStr">
        <is>
          <t>BR-006</t>
        </is>
      </c>
      <c r="B11" s="26" t="inlineStr">
        <is>
          <t>Atividade</t>
        </is>
      </c>
      <c r="C11" s="26" t="inlineStr">
        <is>
          <t>Mensais</t>
        </is>
      </c>
      <c r="D11" s="27" t="inlineStr">
        <is>
          <t>IBC-Br (SA)</t>
        </is>
      </c>
      <c r="E11" s="26" t="inlineStr">
        <is>
          <t>BCB SGS</t>
        </is>
      </c>
      <c r="F11" s="26" t="inlineStr">
        <is>
          <t>24364</t>
        </is>
      </c>
      <c r="G11" s="26" t="inlineStr">
        <is>
          <t>Mensal</t>
        </is>
      </c>
      <c r="H11" s="26" t="inlineStr">
        <is>
          <t>Índice</t>
        </is>
      </c>
      <c r="I11" s="26" t="inlineStr">
        <is>
          <t>Índice</t>
        </is>
      </c>
      <c r="J11" s="26" t="inlineStr">
        <is>
          <t>Nível, MoM, QoQ, YoY, acum. 3/6/9/12m, 3m/6m SAAR, real/nominal</t>
        </is>
      </c>
      <c r="K11" s="26" t="inlineStr">
        <is>
          <t>MVP</t>
        </is>
      </c>
      <c r="L11" s="26" t="inlineStr">
        <is>
          <t>Verificado</t>
        </is>
      </c>
      <c r="M11" s="26" t="inlineStr">
        <is>
          <t>Sem ajuste: 24363</t>
        </is>
      </c>
    </row>
    <row r="12">
      <c r="A12" s="25" t="inlineStr">
        <is>
          <t>BR-007</t>
        </is>
      </c>
      <c r="B12" s="26" t="inlineStr">
        <is>
          <t>Atividade</t>
        </is>
      </c>
      <c r="C12" s="26" t="inlineStr">
        <is>
          <t>Mensais</t>
        </is>
      </c>
      <c r="D12" s="27" t="inlineStr">
        <is>
          <t>Produção industrial — PIM-PF (geral, extrativa, transformação)</t>
        </is>
      </c>
      <c r="E12" s="26" t="inlineStr">
        <is>
          <t>IBGE SIDRA</t>
        </is>
      </c>
      <c r="F12" s="26" t="inlineStr">
        <is>
          <t>t8888/v12606,12607/c544=129314,129315,129316 ; t8888/v11602,11604/c544=129314</t>
        </is>
      </c>
      <c r="G12" s="26" t="inlineStr">
        <is>
          <t>Mensal</t>
        </is>
      </c>
      <c r="H12" s="26" t="inlineStr">
        <is>
          <t>Índice</t>
        </is>
      </c>
      <c r="I12" s="26" t="inlineStr">
        <is>
          <t>Índice</t>
        </is>
      </c>
      <c r="J12" s="26" t="inlineStr">
        <is>
          <t>Nível, MoM, QoQ, YoY, acum. 3/6/9/12m, 3m/6m SAAR, real/nominal</t>
        </is>
      </c>
      <c r="K12" s="26" t="inlineStr">
        <is>
          <t>MVP</t>
        </is>
      </c>
      <c r="L12" s="26" t="inlineStr">
        <is>
          <t>Verificado</t>
        </is>
      </c>
      <c r="M12" s="26" t="inlineStr">
        <is>
          <t>Tabela nova (base 2022); conferir na Fase 0; v11602 (YoY) e v11604 (12 meses) são as taxas oficiais, usadas para conferir o cálculo do site</t>
        </is>
      </c>
    </row>
    <row r="13">
      <c r="A13" s="25" t="inlineStr">
        <is>
          <t>BR-008</t>
        </is>
      </c>
      <c r="B13" s="26" t="inlineStr">
        <is>
          <t>Atividade</t>
        </is>
      </c>
      <c r="C13" s="26" t="inlineStr">
        <is>
          <t>Mensais</t>
        </is>
      </c>
      <c r="D13" s="27" t="inlineStr">
        <is>
          <t>Varejo restrito e ampliado — PMC</t>
        </is>
      </c>
      <c r="E13" s="26" t="inlineStr">
        <is>
          <t>IBGE SIDRA</t>
        </is>
      </c>
      <c r="F13" s="26" t="inlineStr">
        <is>
          <t>t8880/v7169,7170/c11046=56733,56734 ; t8881/v7169,7170/c11046=56735,56736 ; t8880/v11708/c11046=56734</t>
        </is>
      </c>
      <c r="G13" s="26" t="inlineStr">
        <is>
          <t>Mensal</t>
        </is>
      </c>
      <c r="H13" s="26" t="inlineStr">
        <is>
          <t>Índice</t>
        </is>
      </c>
      <c r="I13" s="26" t="inlineStr">
        <is>
          <t>Índice</t>
        </is>
      </c>
      <c r="J13" s="26" t="inlineStr">
        <is>
          <t>Nível, MoM, QoQ, YoY, acum. 3/6/9/12m, 3m/6m SAAR, real/nominal</t>
        </is>
      </c>
      <c r="K13" s="26" t="inlineStr">
        <is>
          <t>MVP</t>
        </is>
      </c>
      <c r="L13" s="26" t="inlineStr">
        <is>
          <t>Verificado</t>
        </is>
      </c>
      <c r="M13" s="26" t="inlineStr">
        <is>
          <t>Volume e receita nominal; t8880 v11708 (MoM SA oficial) confere o cálculo do site</t>
        </is>
      </c>
    </row>
    <row r="14">
      <c r="A14" s="25" t="inlineStr">
        <is>
          <t>BR-009</t>
        </is>
      </c>
      <c r="B14" s="26" t="inlineStr">
        <is>
          <t>Atividade</t>
        </is>
      </c>
      <c r="C14" s="26" t="inlineStr">
        <is>
          <t>Mensais</t>
        </is>
      </c>
      <c r="D14" s="27" t="inlineStr">
        <is>
          <t>Volume de serviços — PMS</t>
        </is>
      </c>
      <c r="E14" s="26" t="inlineStr">
        <is>
          <t>IBGE SIDRA</t>
        </is>
      </c>
      <c r="F14" s="26" t="inlineStr">
        <is>
          <t>t5906/v7167,7168/c11046=56725,56726</t>
        </is>
      </c>
      <c r="G14" s="26" t="inlineStr">
        <is>
          <t>Mensal</t>
        </is>
      </c>
      <c r="H14" s="26" t="inlineStr">
        <is>
          <t>Índice</t>
        </is>
      </c>
      <c r="I14" s="26" t="inlineStr">
        <is>
          <t>Índice</t>
        </is>
      </c>
      <c r="J14" s="26" t="inlineStr">
        <is>
          <t>Nível, MoM, QoQ, YoY, acum. 3/6/9/12m, 3m/6m SAAR, real/nominal</t>
        </is>
      </c>
      <c r="K14" s="26" t="inlineStr">
        <is>
          <t>MVP</t>
        </is>
      </c>
      <c r="L14" s="26" t="inlineStr">
        <is>
          <t>Verificado</t>
        </is>
      </c>
      <c r="M14" s="26" t="inlineStr"/>
    </row>
    <row r="15">
      <c r="A15" s="25" t="inlineStr">
        <is>
          <t>BR-010</t>
        </is>
      </c>
      <c r="B15" s="26" t="inlineStr">
        <is>
          <t>Atividade</t>
        </is>
      </c>
      <c r="C15" s="26" t="inlineStr">
        <is>
          <t>Mensais</t>
        </is>
      </c>
      <c r="D15" s="27" t="inlineStr">
        <is>
          <t>Utilização da capacidade instalada (NUCI)</t>
        </is>
      </c>
      <c r="E15" s="26" t="inlineStr">
        <is>
          <t>FGV IBRE / CNI</t>
        </is>
      </c>
      <c r="F15" s="26" t="inlineStr">
        <is>
          <t>—</t>
        </is>
      </c>
      <c r="G15" s="26" t="inlineStr">
        <is>
          <t>Mensal</t>
        </is>
      </c>
      <c r="H15" s="26" t="inlineStr">
        <is>
          <t>%</t>
        </is>
      </c>
      <c r="I15" s="26" t="inlineStr">
        <is>
          <t>Taxa</t>
        </is>
      </c>
      <c r="J15" s="26" t="inlineStr">
        <is>
          <t>Nível, Δ p.p. (MoM, YoY, 3/6/12m)</t>
        </is>
      </c>
      <c r="K15" s="26" t="inlineStr">
        <is>
          <t>v2</t>
        </is>
      </c>
      <c r="L15" s="26" t="inlineStr">
        <is>
          <t>Sem API</t>
        </is>
      </c>
      <c r="M15" s="26" t="inlineStr">
        <is>
          <t>FGV restringe dados; CNI publica xlsx</t>
        </is>
      </c>
    </row>
    <row r="16">
      <c r="A16" s="25" t="inlineStr">
        <is>
          <t>BR-011</t>
        </is>
      </c>
      <c r="B16" s="26" t="inlineStr">
        <is>
          <t>Atividade</t>
        </is>
      </c>
      <c r="C16" s="26" t="inlineStr">
        <is>
          <t>Confiança</t>
        </is>
      </c>
      <c r="D16" s="27" t="inlineStr">
        <is>
          <t>Confiança FGV (consumidor, indústria, serviços, comércio)</t>
        </is>
      </c>
      <c r="E16" s="26" t="inlineStr">
        <is>
          <t>FGV IBRE</t>
        </is>
      </c>
      <c r="F16" s="26" t="inlineStr">
        <is>
          <t>—</t>
        </is>
      </c>
      <c r="G16" s="26" t="inlineStr">
        <is>
          <t>Mensal</t>
        </is>
      </c>
      <c r="H16" s="26" t="inlineStr">
        <is>
          <t>Índice</t>
        </is>
      </c>
      <c r="I16" s="26" t="inlineStr">
        <is>
          <t>Índice</t>
        </is>
      </c>
      <c r="J16" s="26" t="inlineStr">
        <is>
          <t>Nível, MoM, QoQ, YoY, acum. 3/6/9/12m, 3m/6m SAAR, real/nominal</t>
        </is>
      </c>
      <c r="K16" s="26" t="inlineStr">
        <is>
          <t>v2</t>
        </is>
      </c>
      <c r="L16" s="26" t="inlineStr">
        <is>
          <t>Sem API</t>
        </is>
      </c>
      <c r="M16" s="26" t="inlineStr">
        <is>
          <t>Sem API aberta; download manual ou assinatura</t>
        </is>
      </c>
    </row>
    <row r="17">
      <c r="A17" s="25" t="inlineStr">
        <is>
          <t>BR-012</t>
        </is>
      </c>
      <c r="B17" s="26" t="inlineStr">
        <is>
          <t>Atividade</t>
        </is>
      </c>
      <c r="C17" s="26" t="inlineStr">
        <is>
          <t>Coincidentes</t>
        </is>
      </c>
      <c r="D17" s="27" t="inlineStr">
        <is>
          <t>Produção de veículos (Anfavea)</t>
        </is>
      </c>
      <c r="E17" s="26" t="inlineStr">
        <is>
          <t>Anfavea</t>
        </is>
      </c>
      <c r="F17" s="26" t="inlineStr">
        <is>
          <t>—</t>
        </is>
      </c>
      <c r="G17" s="26" t="inlineStr">
        <is>
          <t>Mensal</t>
        </is>
      </c>
      <c r="H17" s="26" t="inlineStr">
        <is>
          <t>Unidades</t>
        </is>
      </c>
      <c r="I17" s="26" t="inlineStr">
        <is>
          <t>Fluxo</t>
        </is>
      </c>
      <c r="J17" s="26" t="inlineStr">
        <is>
          <t>Nível, soma 3/12m, MoM % (SA), YoY %, real/nominal, % PIB</t>
        </is>
      </c>
      <c r="K17" s="26" t="inlineStr">
        <is>
          <t>v2</t>
        </is>
      </c>
      <c r="L17" s="26" t="inlineStr">
        <is>
          <t>Sem API</t>
        </is>
      </c>
      <c r="M17" s="26" t="inlineStr">
        <is>
          <t>xlsx no site</t>
        </is>
      </c>
    </row>
    <row r="18">
      <c r="A18" s="25" t="inlineStr">
        <is>
          <t>BR-013</t>
        </is>
      </c>
      <c r="B18" s="26" t="inlineStr">
        <is>
          <t>Atividade</t>
        </is>
      </c>
      <c r="C18" s="26" t="inlineStr">
        <is>
          <t>Coincidentes</t>
        </is>
      </c>
      <c r="D18" s="27" t="inlineStr">
        <is>
          <t>Carga de energia (ONS)</t>
        </is>
      </c>
      <c r="E18" s="26" t="inlineStr">
        <is>
          <t>ONS Dados Abertos</t>
        </is>
      </c>
      <c r="F18" s="26" t="inlineStr">
        <is>
          <t>—</t>
        </is>
      </c>
      <c r="G18" s="26" t="inlineStr">
        <is>
          <t>Diária</t>
        </is>
      </c>
      <c r="H18" s="26" t="inlineStr">
        <is>
          <t>MWmed</t>
        </is>
      </c>
      <c r="I18" s="26" t="inlineStr">
        <is>
          <t>Fluxo</t>
        </is>
      </c>
      <c r="J18" s="26" t="inlineStr">
        <is>
          <t>Nível, soma 3/12m, MoM % (SA), YoY %, real/nominal, % PIB</t>
        </is>
      </c>
      <c r="K18" s="26" t="inlineStr">
        <is>
          <t>v2</t>
        </is>
      </c>
      <c r="L18" s="26" t="inlineStr">
        <is>
          <t>A mapear</t>
        </is>
      </c>
      <c r="M18" s="26" t="inlineStr">
        <is>
          <t>Proxy de atividade de alta frequência</t>
        </is>
      </c>
    </row>
    <row r="19">
      <c r="A19" s="25" t="inlineStr">
        <is>
          <t>BR-014</t>
        </is>
      </c>
      <c r="B19" s="26" t="inlineStr">
        <is>
          <t>Atividade</t>
        </is>
      </c>
      <c r="C19" s="26" t="inlineStr">
        <is>
          <t>Expectativas</t>
        </is>
      </c>
      <c r="D19" s="27" t="inlineStr">
        <is>
          <t>Focus — PIB (ano corrente e seguinte)</t>
        </is>
      </c>
      <c r="E19" s="26" t="inlineStr">
        <is>
          <t>BCB Olinda (Focus)</t>
        </is>
      </c>
      <c r="F19" s="26" t="inlineStr">
        <is>
          <t>ExpectativasMercadoAnuais · Indicador='PIB Total'</t>
        </is>
      </c>
      <c r="G19" s="26" t="inlineStr">
        <is>
          <t>Semanal</t>
        </is>
      </c>
      <c r="H19" s="26" t="inlineStr">
        <is>
          <t>%</t>
        </is>
      </c>
      <c r="I19" s="26" t="inlineStr">
        <is>
          <t>Taxa</t>
        </is>
      </c>
      <c r="J19" s="26" t="inlineStr">
        <is>
          <t>Nível, Δ p.p. (MoM, YoY, 3/6/12m)</t>
        </is>
      </c>
      <c r="K19" s="26" t="inlineStr">
        <is>
          <t>MVP</t>
        </is>
      </c>
      <c r="L19" s="26" t="inlineStr">
        <is>
          <t>Verificado</t>
        </is>
      </c>
      <c r="M19" s="26" t="inlineStr">
        <is>
          <t>Mediana, desvio e nº de respondentes</t>
        </is>
      </c>
    </row>
    <row r="20">
      <c r="A20" s="25" t="inlineStr">
        <is>
          <t>BR-015</t>
        </is>
      </c>
      <c r="B20" s="26" t="inlineStr">
        <is>
          <t>Mercado de Trabalho</t>
        </is>
      </c>
      <c r="C20" s="26" t="inlineStr">
        <is>
          <t>PNAD</t>
        </is>
      </c>
      <c r="D20" s="27" t="inlineStr">
        <is>
          <t>Taxa de desocupação</t>
        </is>
      </c>
      <c r="E20" s="26" t="inlineStr">
        <is>
          <t>BCB SGS / IBGE SIDRA</t>
        </is>
      </c>
      <c r="F20" s="26" t="inlineStr">
        <is>
          <t>24369 / t6381</t>
        </is>
      </c>
      <c r="G20" s="26" t="inlineStr">
        <is>
          <t>Mensal (trim. móvel)</t>
        </is>
      </c>
      <c r="H20" s="26" t="inlineStr">
        <is>
          <t>%</t>
        </is>
      </c>
      <c r="I20" s="26" t="inlineStr">
        <is>
          <t>Taxa</t>
        </is>
      </c>
      <c r="J20" s="26" t="inlineStr">
        <is>
          <t>Nível, Δ p.p. (MoM, YoY, 3/6/12m)</t>
        </is>
      </c>
      <c r="K20" s="26" t="inlineStr">
        <is>
          <t>MVP</t>
        </is>
      </c>
      <c r="L20" s="26" t="inlineStr">
        <is>
          <t>Verificado</t>
        </is>
      </c>
      <c r="M20" s="26" t="inlineStr">
        <is>
          <t>Série oficial sem ajuste sazonal; SA própria (X-13) na v2</t>
        </is>
      </c>
    </row>
    <row r="21">
      <c r="A21" s="25" t="inlineStr">
        <is>
          <t>BR-016</t>
        </is>
      </c>
      <c r="B21" s="26" t="inlineStr">
        <is>
          <t>Mercado de Trabalho</t>
        </is>
      </c>
      <c r="C21" s="26" t="inlineStr">
        <is>
          <t>PNAD</t>
        </is>
      </c>
      <c r="D21" s="27" t="inlineStr">
        <is>
          <t>Taxa de participação e nível de ocupação</t>
        </is>
      </c>
      <c r="E21" s="26" t="inlineStr">
        <is>
          <t>IBGE SIDRA</t>
        </is>
      </c>
      <c r="F21" s="26" t="inlineStr">
        <is>
          <t>t5944/v4096 ; t6379/v4097</t>
        </is>
      </c>
      <c r="G21" s="26" t="inlineStr">
        <is>
          <t>Mensal (trim. móvel)</t>
        </is>
      </c>
      <c r="H21" s="26" t="inlineStr">
        <is>
          <t>%</t>
        </is>
      </c>
      <c r="I21" s="26" t="inlineStr">
        <is>
          <t>Taxa</t>
        </is>
      </c>
      <c r="J21" s="26" t="inlineStr">
        <is>
          <t>Nível, Δ p.p. (MoM, YoY, 3/6/12m)</t>
        </is>
      </c>
      <c r="K21" s="26" t="inlineStr">
        <is>
          <t>MVP</t>
        </is>
      </c>
      <c r="L21" s="26" t="inlineStr">
        <is>
          <t>Verificado</t>
        </is>
      </c>
      <c r="M21" s="26" t="inlineStr">
        <is>
          <t>PNAD Contínua mensal: t5944 participação, t6379 nível da ocupação</t>
        </is>
      </c>
    </row>
    <row r="22">
      <c r="A22" s="25" t="inlineStr">
        <is>
          <t>BR-017</t>
        </is>
      </c>
      <c r="B22" s="26" t="inlineStr">
        <is>
          <t>Mercado de Trabalho</t>
        </is>
      </c>
      <c r="C22" s="26" t="inlineStr">
        <is>
          <t>PNAD</t>
        </is>
      </c>
      <c r="D22" s="27" t="inlineStr">
        <is>
          <t>População ocupada (total, formal, informal)</t>
        </is>
      </c>
      <c r="E22" s="26" t="inlineStr">
        <is>
          <t>IBGE SIDRA</t>
        </is>
      </c>
      <c r="F22" s="26" t="inlineStr">
        <is>
          <t>t8501/v4090/c1350=57302,57303</t>
        </is>
      </c>
      <c r="G22" s="26" t="inlineStr">
        <is>
          <t>Mensal (trim. móvel)</t>
        </is>
      </c>
      <c r="H22" s="26" t="inlineStr">
        <is>
          <t>Mil pessoas</t>
        </is>
      </c>
      <c r="I22" s="26" t="inlineStr">
        <is>
          <t>Estoque</t>
        </is>
      </c>
      <c r="J22" s="26" t="inlineStr">
        <is>
          <t>Nível, MoM %, YoY %, real/nominal, % PIB</t>
        </is>
      </c>
      <c r="K22" s="26" t="inlineStr">
        <is>
          <t>MVP</t>
        </is>
      </c>
      <c r="L22" s="26" t="inlineStr">
        <is>
          <t>Verificado</t>
        </is>
      </c>
      <c r="M22" s="26" t="inlineStr">
        <is>
          <t>PNAD Contínua mensal, por situação de informalidade</t>
        </is>
      </c>
    </row>
    <row r="23">
      <c r="A23" s="25" t="inlineStr">
        <is>
          <t>BR-018</t>
        </is>
      </c>
      <c r="B23" s="26" t="inlineStr">
        <is>
          <t>Mercado de Trabalho</t>
        </is>
      </c>
      <c r="C23" s="26" t="inlineStr">
        <is>
          <t>PNAD</t>
        </is>
      </c>
      <c r="D23" s="27" t="inlineStr">
        <is>
          <t>Taxa de informalidade</t>
        </is>
      </c>
      <c r="E23" s="26" t="inlineStr">
        <is>
          <t>IBGE SIDRA</t>
        </is>
      </c>
      <c r="F23" s="26" t="inlineStr">
        <is>
          <t>t8513/v12466</t>
        </is>
      </c>
      <c r="G23" s="26" t="inlineStr">
        <is>
          <t>Mensal (trim. móvel)</t>
        </is>
      </c>
      <c r="H23" s="26" t="inlineStr">
        <is>
          <t>%</t>
        </is>
      </c>
      <c r="I23" s="26" t="inlineStr">
        <is>
          <t>Taxa</t>
        </is>
      </c>
      <c r="J23" s="26" t="inlineStr">
        <is>
          <t>Nível, Δ p.p. (MoM, YoY, 3/6/12m)</t>
        </is>
      </c>
      <c r="K23" s="26" t="inlineStr">
        <is>
          <t>MVP</t>
        </is>
      </c>
      <c r="L23" s="26" t="inlineStr">
        <is>
          <t>Verificado</t>
        </is>
      </c>
      <c r="M23" s="26" t="inlineStr">
        <is>
          <t>PNAD Contínua mensal</t>
        </is>
      </c>
    </row>
    <row r="24">
      <c r="A24" s="25" t="inlineStr">
        <is>
          <t>BR-019</t>
        </is>
      </c>
      <c r="B24" s="26" t="inlineStr">
        <is>
          <t>Mercado de Trabalho</t>
        </is>
      </c>
      <c r="C24" s="26" t="inlineStr">
        <is>
          <t>PNAD</t>
        </is>
      </c>
      <c r="D24" s="27" t="inlineStr">
        <is>
          <t>Rendimento médio real habitual</t>
        </is>
      </c>
      <c r="E24" s="26" t="inlineStr">
        <is>
          <t>IBGE SIDRA</t>
        </is>
      </c>
      <c r="F24" s="26" t="inlineStr">
        <is>
          <t>t6390/v5933,5929</t>
        </is>
      </c>
      <c r="G24" s="26" t="inlineStr">
        <is>
          <t>Mensal (trim. móvel)</t>
        </is>
      </c>
      <c r="H24" s="26" t="inlineStr">
        <is>
          <t>R$</t>
        </is>
      </c>
      <c r="I24" s="26" t="inlineStr">
        <is>
          <t>Índice</t>
        </is>
      </c>
      <c r="J24" s="26" t="inlineStr">
        <is>
          <t>Nível, MoM, QoQ, YoY, acum. 3/6/9/12m, 3m/6m SAAR, real/nominal</t>
        </is>
      </c>
      <c r="K24" s="26" t="inlineStr">
        <is>
          <t>MVP</t>
        </is>
      </c>
      <c r="L24" s="26" t="inlineStr">
        <is>
          <t>Verificado</t>
        </is>
      </c>
      <c r="M24" s="26" t="inlineStr">
        <is>
          <t>Equivalente a AHE/real wage dos EUA</t>
        </is>
      </c>
    </row>
    <row r="25">
      <c r="A25" s="25" t="inlineStr">
        <is>
          <t>BR-020</t>
        </is>
      </c>
      <c r="B25" s="26" t="inlineStr">
        <is>
          <t>Mercado de Trabalho</t>
        </is>
      </c>
      <c r="C25" s="26" t="inlineStr">
        <is>
          <t>PNAD</t>
        </is>
      </c>
      <c r="D25" s="27" t="inlineStr">
        <is>
          <t>Massa de rendimento real habitual</t>
        </is>
      </c>
      <c r="E25" s="26" t="inlineStr">
        <is>
          <t>IBGE SIDRA</t>
        </is>
      </c>
      <c r="F25" s="26" t="inlineStr">
        <is>
          <t>t6392/v6293,6288</t>
        </is>
      </c>
      <c r="G25" s="26" t="inlineStr">
        <is>
          <t>Mensal (trim. móvel)</t>
        </is>
      </c>
      <c r="H25" s="26" t="inlineStr">
        <is>
          <t>R$ mi</t>
        </is>
      </c>
      <c r="I25" s="26" t="inlineStr">
        <is>
          <t>Fluxo</t>
        </is>
      </c>
      <c r="J25" s="26" t="inlineStr">
        <is>
          <t>Nível, soma 3/12m, MoM % (SA), YoY %, real/nominal, % PIB</t>
        </is>
      </c>
      <c r="K25" s="26" t="inlineStr">
        <is>
          <t>MVP</t>
        </is>
      </c>
      <c r="L25" s="26" t="inlineStr">
        <is>
          <t>Verificado</t>
        </is>
      </c>
      <c r="M25" s="26" t="inlineStr">
        <is>
          <t>PNAD Contínua mensal, habitualmente recebido; liga Trabalho a Consumo</t>
        </is>
      </c>
    </row>
    <row r="26">
      <c r="A26" s="25" t="inlineStr">
        <is>
          <t>BR-021</t>
        </is>
      </c>
      <c r="B26" s="26" t="inlineStr">
        <is>
          <t>Mercado de Trabalho</t>
        </is>
      </c>
      <c r="C26" s="26" t="inlineStr">
        <is>
          <t>PNAD</t>
        </is>
      </c>
      <c r="D26" s="27" t="inlineStr">
        <is>
          <t>Subutilização, desalentados, desemprego de longo prazo</t>
        </is>
      </c>
      <c r="E26" s="26" t="inlineStr">
        <is>
          <t>IBGE SIDRA</t>
        </is>
      </c>
      <c r="F26" s="26" t="inlineStr">
        <is>
          <t>PNAD Contínua trimestral</t>
        </is>
      </c>
      <c r="G26" s="26" t="inlineStr">
        <is>
          <t>Trimestral</t>
        </is>
      </c>
      <c r="H26" s="26" t="inlineStr">
        <is>
          <t>%</t>
        </is>
      </c>
      <c r="I26" s="26" t="inlineStr">
        <is>
          <t>Taxa</t>
        </is>
      </c>
      <c r="J26" s="26" t="inlineStr">
        <is>
          <t>Nível, Δ p.p. (MoM, YoY, 3/6/12m)</t>
        </is>
      </c>
      <c r="K26" s="26" t="inlineStr">
        <is>
          <t>v2</t>
        </is>
      </c>
      <c r="L26" s="26" t="inlineStr">
        <is>
          <t>A mapear</t>
        </is>
      </c>
      <c r="M26" s="26" t="inlineStr">
        <is>
          <t>Equivalente ao U6 dos EUA</t>
        </is>
      </c>
    </row>
    <row r="27">
      <c r="A27" s="25" t="inlineStr">
        <is>
          <t>BR-022</t>
        </is>
      </c>
      <c r="B27" s="26" t="inlineStr">
        <is>
          <t>Mercado de Trabalho</t>
        </is>
      </c>
      <c r="C27" s="26" t="inlineStr">
        <is>
          <t>Formal</t>
        </is>
      </c>
      <c r="D27" s="27" t="inlineStr">
        <is>
          <t>Estoque de empregos formais (Novo CAGED)</t>
        </is>
      </c>
      <c r="E27" s="26" t="inlineStr">
        <is>
          <t>BCB SGS / MTE PDET</t>
        </is>
      </c>
      <c r="F27" s="26" t="inlineStr">
        <is>
          <t>28763</t>
        </is>
      </c>
      <c r="G27" s="26" t="inlineStr">
        <is>
          <t>Mensal</t>
        </is>
      </c>
      <c r="H27" s="26" t="inlineStr">
        <is>
          <t>Postos</t>
        </is>
      </c>
      <c r="I27" s="26" t="inlineStr">
        <is>
          <t>Estoque</t>
        </is>
      </c>
      <c r="J27" s="26" t="inlineStr">
        <is>
          <t>Nível, MoM %, YoY %, real/nominal, % PIB</t>
        </is>
      </c>
      <c r="K27" s="26" t="inlineStr">
        <is>
          <t>MVP</t>
        </is>
      </c>
      <c r="L27" s="26" t="inlineStr">
        <is>
          <t>Verificado</t>
        </is>
      </c>
      <c r="M27" s="26" t="inlineStr">
        <is>
          <t>Saldo mensal do CAGED = variação do estoque (série derivada); por setor via microdados MTE (v2)</t>
        </is>
      </c>
    </row>
    <row r="28">
      <c r="A28" s="25" t="inlineStr">
        <is>
          <t>BR-023</t>
        </is>
      </c>
      <c r="B28" s="26" t="inlineStr">
        <is>
          <t>Mercado de Trabalho</t>
        </is>
      </c>
      <c r="C28" s="26" t="inlineStr">
        <is>
          <t>Formal</t>
        </is>
      </c>
      <c r="D28" s="27" t="inlineStr">
        <is>
          <t>Requerimentos de seguro-desemprego</t>
        </is>
      </c>
      <c r="E28" s="26" t="inlineStr">
        <is>
          <t>MTE</t>
        </is>
      </c>
      <c r="F28" s="26" t="inlineStr">
        <is>
          <t>—</t>
        </is>
      </c>
      <c r="G28" s="26" t="inlineStr">
        <is>
          <t>Mensal</t>
        </is>
      </c>
      <c r="H28" s="26" t="inlineStr">
        <is>
          <t>Pedidos</t>
        </is>
      </c>
      <c r="I28" s="26" t="inlineStr">
        <is>
          <t>Fluxo</t>
        </is>
      </c>
      <c r="J28" s="26" t="inlineStr">
        <is>
          <t>Nível, soma 3/12m, MoM % (SA), YoY %, real/nominal, % PIB</t>
        </is>
      </c>
      <c r="K28" s="26" t="inlineStr">
        <is>
          <t>v2</t>
        </is>
      </c>
      <c r="L28" s="26" t="inlineStr">
        <is>
          <t>Sem API</t>
        </is>
      </c>
      <c r="M28" s="26" t="inlineStr">
        <is>
          <t>Equivalente às jobless claims</t>
        </is>
      </c>
    </row>
    <row r="29">
      <c r="A29" s="25" t="inlineStr">
        <is>
          <t>BR-024</t>
        </is>
      </c>
      <c r="B29" s="26" t="inlineStr">
        <is>
          <t>Mercado de Trabalho</t>
        </is>
      </c>
      <c r="C29" s="26" t="inlineStr">
        <is>
          <t>Indicadores</t>
        </is>
      </c>
      <c r="D29" s="27" t="inlineStr">
        <is>
          <t>Recessão tipo Sahm (desocupação SA, MM3)</t>
        </is>
      </c>
      <c r="E29" s="26" t="inlineStr">
        <is>
          <t>Argus</t>
        </is>
      </c>
      <c r="F29" s="26" t="inlineStr">
        <is>
          <t>f(desocupação SA)</t>
        </is>
      </c>
      <c r="G29" s="26" t="inlineStr">
        <is>
          <t>Mensal</t>
        </is>
      </c>
      <c r="H29" s="26" t="inlineStr">
        <is>
          <t>p.p.</t>
        </is>
      </c>
      <c r="I29" s="26" t="inlineStr">
        <is>
          <t>Derivado</t>
        </is>
      </c>
      <c r="J29" s="26" t="inlineStr">
        <is>
          <t>Conforme definição da fórmula</t>
        </is>
      </c>
      <c r="K29" s="26" t="inlineStr">
        <is>
          <t>v2</t>
        </is>
      </c>
      <c r="L29" s="26" t="inlineStr">
        <is>
          <t>Derivado</t>
        </is>
      </c>
      <c r="M29" s="26" t="inlineStr">
        <is>
          <t>Depende da SA própria</t>
        </is>
      </c>
    </row>
    <row r="30">
      <c r="A30" s="25" t="inlineStr">
        <is>
          <t>BR-025</t>
        </is>
      </c>
      <c r="B30" s="26" t="inlineStr">
        <is>
          <t>Inflação</t>
        </is>
      </c>
      <c r="C30" s="26" t="inlineStr">
        <is>
          <t>Cheio</t>
        </is>
      </c>
      <c r="D30" s="27" t="inlineStr">
        <is>
          <t>IPCA — variação mensal</t>
        </is>
      </c>
      <c r="E30" s="26" t="inlineStr">
        <is>
          <t>BCB SGS</t>
        </is>
      </c>
      <c r="F30" s="26" t="inlineStr">
        <is>
          <t>433</t>
        </is>
      </c>
      <c r="G30" s="26" t="inlineStr">
        <is>
          <t>Mensal</t>
        </is>
      </c>
      <c r="H30" s="26" t="inlineStr">
        <is>
          <t>% m/m</t>
        </is>
      </c>
      <c r="I30" s="26" t="inlineStr">
        <is>
          <t>Var % mensal</t>
        </is>
      </c>
      <c r="J30" s="26" t="inlineStr">
        <is>
          <t>Mensal, acum. 3/6/9/12m (encadeado), 3m/6m anualizado, YoY via 12m</t>
        </is>
      </c>
      <c r="K30" s="26" t="inlineStr">
        <is>
          <t>MVP</t>
        </is>
      </c>
      <c r="L30" s="26" t="inlineStr">
        <is>
          <t>Verificado</t>
        </is>
      </c>
      <c r="M30" s="26" t="inlineStr">
        <is>
          <t>Acumulados são encadeados, nunca somados</t>
        </is>
      </c>
    </row>
    <row r="31">
      <c r="A31" s="25" t="inlineStr">
        <is>
          <t>BR-026</t>
        </is>
      </c>
      <c r="B31" s="26" t="inlineStr">
        <is>
          <t>Inflação</t>
        </is>
      </c>
      <c r="C31" s="26" t="inlineStr">
        <is>
          <t>Cheio</t>
        </is>
      </c>
      <c r="D31" s="27" t="inlineStr">
        <is>
          <t>IPCA — acumulado 12 meses</t>
        </is>
      </c>
      <c r="E31" s="26" t="inlineStr">
        <is>
          <t>BCB SGS</t>
        </is>
      </c>
      <c r="F31" s="26" t="inlineStr">
        <is>
          <t>13522</t>
        </is>
      </c>
      <c r="G31" s="26" t="inlineStr">
        <is>
          <t>Mensal</t>
        </is>
      </c>
      <c r="H31" s="26" t="inlineStr">
        <is>
          <t>%</t>
        </is>
      </c>
      <c r="I31" s="26" t="inlineStr">
        <is>
          <t>Taxa</t>
        </is>
      </c>
      <c r="J31" s="26" t="inlineStr">
        <is>
          <t>Nível, Δ p.p. (MoM, YoY, 3/6/12m)</t>
        </is>
      </c>
      <c r="K31" s="26" t="inlineStr">
        <is>
          <t>MVP</t>
        </is>
      </c>
      <c r="L31" s="26" t="inlineStr">
        <is>
          <t>Verificado</t>
        </is>
      </c>
      <c r="M31" s="26" t="inlineStr">
        <is>
          <t>Conferência do cálculo próprio</t>
        </is>
      </c>
    </row>
    <row r="32">
      <c r="A32" s="25" t="inlineStr">
        <is>
          <t>BR-027</t>
        </is>
      </c>
      <c r="B32" s="26" t="inlineStr">
        <is>
          <t>Inflação</t>
        </is>
      </c>
      <c r="C32" s="26" t="inlineStr">
        <is>
          <t>Cheio</t>
        </is>
      </c>
      <c r="D32" s="27" t="inlineStr">
        <is>
          <t>IPCA-15</t>
        </is>
      </c>
      <c r="E32" s="26" t="inlineStr">
        <is>
          <t>BCB SGS</t>
        </is>
      </c>
      <c r="F32" s="26" t="inlineStr">
        <is>
          <t>7478</t>
        </is>
      </c>
      <c r="G32" s="26" t="inlineStr">
        <is>
          <t>Mensal</t>
        </is>
      </c>
      <c r="H32" s="26" t="inlineStr">
        <is>
          <t>% m/m</t>
        </is>
      </c>
      <c r="I32" s="26" t="inlineStr">
        <is>
          <t>Var % mensal</t>
        </is>
      </c>
      <c r="J32" s="26" t="inlineStr">
        <is>
          <t>Mensal, acum. 3/6/9/12m (encadeado), 3m/6m anualizado, YoY via 12m</t>
        </is>
      </c>
      <c r="K32" s="26" t="inlineStr">
        <is>
          <t>MVP</t>
        </is>
      </c>
      <c r="L32" s="26" t="inlineStr">
        <is>
          <t>Verificado</t>
        </is>
      </c>
      <c r="M32" s="26" t="inlineStr">
        <is>
          <t>Prévia</t>
        </is>
      </c>
    </row>
    <row r="33">
      <c r="A33" s="25" t="inlineStr">
        <is>
          <t>BR-028</t>
        </is>
      </c>
      <c r="B33" s="26" t="inlineStr">
        <is>
          <t>Inflação</t>
        </is>
      </c>
      <c r="C33" s="26" t="inlineStr">
        <is>
          <t>Cheio</t>
        </is>
      </c>
      <c r="D33" s="27" t="inlineStr">
        <is>
          <t>INPC</t>
        </is>
      </c>
      <c r="E33" s="26" t="inlineStr">
        <is>
          <t>BCB SGS</t>
        </is>
      </c>
      <c r="F33" s="26" t="inlineStr">
        <is>
          <t>188</t>
        </is>
      </c>
      <c r="G33" s="26" t="inlineStr">
        <is>
          <t>Mensal</t>
        </is>
      </c>
      <c r="H33" s="26" t="inlineStr">
        <is>
          <t>% m/m</t>
        </is>
      </c>
      <c r="I33" s="26" t="inlineStr">
        <is>
          <t>Var % mensal</t>
        </is>
      </c>
      <c r="J33" s="26" t="inlineStr">
        <is>
          <t>Mensal, acum. 3/6/9/12m (encadeado), 3m/6m anualizado, YoY via 12m</t>
        </is>
      </c>
      <c r="K33" s="26" t="inlineStr">
        <is>
          <t>v2</t>
        </is>
      </c>
      <c r="L33" s="26" t="inlineStr">
        <is>
          <t>Confirmar</t>
        </is>
      </c>
      <c r="M33" s="26" t="inlineStr"/>
    </row>
    <row r="34">
      <c r="A34" s="25" t="inlineStr">
        <is>
          <t>BR-029</t>
        </is>
      </c>
      <c r="B34" s="26" t="inlineStr">
        <is>
          <t>Inflação</t>
        </is>
      </c>
      <c r="C34" s="26" t="inlineStr">
        <is>
          <t>Núcleos</t>
        </is>
      </c>
      <c r="D34" s="27" t="inlineStr">
        <is>
          <t>Núcleo médias aparadas sem suavização (MA)</t>
        </is>
      </c>
      <c r="E34" s="26" t="inlineStr">
        <is>
          <t>BCB SGS</t>
        </is>
      </c>
      <c r="F34" s="26" t="inlineStr">
        <is>
          <t>11426</t>
        </is>
      </c>
      <c r="G34" s="26" t="inlineStr">
        <is>
          <t>Mensal</t>
        </is>
      </c>
      <c r="H34" s="26" t="inlineStr">
        <is>
          <t>% m/m</t>
        </is>
      </c>
      <c r="I34" s="26" t="inlineStr">
        <is>
          <t>Var % mensal</t>
        </is>
      </c>
      <c r="J34" s="26" t="inlineStr">
        <is>
          <t>Mensal, acum. 3/6/9/12m (encadeado), 3m/6m anualizado, YoY via 12m</t>
        </is>
      </c>
      <c r="K34" s="26" t="inlineStr">
        <is>
          <t>MVP</t>
        </is>
      </c>
      <c r="L34" s="26" t="inlineStr">
        <is>
          <t>Verificado</t>
        </is>
      </c>
      <c r="M34" s="26" t="inlineStr"/>
    </row>
    <row r="35">
      <c r="A35" s="25" t="inlineStr">
        <is>
          <t>BR-030</t>
        </is>
      </c>
      <c r="B35" s="26" t="inlineStr">
        <is>
          <t>Inflação</t>
        </is>
      </c>
      <c r="C35" s="26" t="inlineStr">
        <is>
          <t>Núcleos</t>
        </is>
      </c>
      <c r="D35" s="27" t="inlineStr">
        <is>
          <t>Núcleo médias aparadas com suavização (MS)</t>
        </is>
      </c>
      <c r="E35" s="26" t="inlineStr">
        <is>
          <t>BCB SGS</t>
        </is>
      </c>
      <c r="F35" s="26" t="inlineStr">
        <is>
          <t>4466</t>
        </is>
      </c>
      <c r="G35" s="26" t="inlineStr">
        <is>
          <t>Mensal</t>
        </is>
      </c>
      <c r="H35" s="26" t="inlineStr">
        <is>
          <t>% m/m</t>
        </is>
      </c>
      <c r="I35" s="26" t="inlineStr">
        <is>
          <t>Var % mensal</t>
        </is>
      </c>
      <c r="J35" s="26" t="inlineStr">
        <is>
          <t>Mensal, acum. 3/6/9/12m (encadeado), 3m/6m anualizado, YoY via 12m</t>
        </is>
      </c>
      <c r="K35" s="26" t="inlineStr">
        <is>
          <t>MVP</t>
        </is>
      </c>
      <c r="L35" s="26" t="inlineStr">
        <is>
          <t>Verificado</t>
        </is>
      </c>
      <c r="M35" s="26" t="inlineStr"/>
    </row>
    <row r="36">
      <c r="A36" s="25" t="inlineStr">
        <is>
          <t>BR-031</t>
        </is>
      </c>
      <c r="B36" s="26" t="inlineStr">
        <is>
          <t>Inflação</t>
        </is>
      </c>
      <c r="C36" s="26" t="inlineStr">
        <is>
          <t>Núcleos</t>
        </is>
      </c>
      <c r="D36" s="27" t="inlineStr">
        <is>
          <t>Núcleo por exclusão EX0 (sem monitorados e alim. domicílio)</t>
        </is>
      </c>
      <c r="E36" s="26" t="inlineStr">
        <is>
          <t>BCB SGS</t>
        </is>
      </c>
      <c r="F36" s="26" t="inlineStr">
        <is>
          <t>11427</t>
        </is>
      </c>
      <c r="G36" s="26" t="inlineStr">
        <is>
          <t>Mensal</t>
        </is>
      </c>
      <c r="H36" s="26" t="inlineStr">
        <is>
          <t>% m/m</t>
        </is>
      </c>
      <c r="I36" s="26" t="inlineStr">
        <is>
          <t>Var % mensal</t>
        </is>
      </c>
      <c r="J36" s="26" t="inlineStr">
        <is>
          <t>Mensal, acum. 3/6/9/12m (encadeado), 3m/6m anualizado, YoY via 12m</t>
        </is>
      </c>
      <c r="K36" s="26" t="inlineStr">
        <is>
          <t>MVP</t>
        </is>
      </c>
      <c r="L36" s="26" t="inlineStr">
        <is>
          <t>Verificado</t>
        </is>
      </c>
      <c r="M36" s="26" t="inlineStr"/>
    </row>
    <row r="37">
      <c r="A37" s="25" t="inlineStr">
        <is>
          <t>BR-032</t>
        </is>
      </c>
      <c r="B37" s="26" t="inlineStr">
        <is>
          <t>Inflação</t>
        </is>
      </c>
      <c r="C37" s="26" t="inlineStr">
        <is>
          <t>Núcleos</t>
        </is>
      </c>
      <c r="D37" s="27" t="inlineStr">
        <is>
          <t>Núcleo por exclusão EX2</t>
        </is>
      </c>
      <c r="E37" s="26" t="inlineStr">
        <is>
          <t>BCB SGS</t>
        </is>
      </c>
      <c r="F37" s="26" t="inlineStr">
        <is>
          <t>27838</t>
        </is>
      </c>
      <c r="G37" s="26" t="inlineStr">
        <is>
          <t>Mensal</t>
        </is>
      </c>
      <c r="H37" s="26" t="inlineStr">
        <is>
          <t>% m/m</t>
        </is>
      </c>
      <c r="I37" s="26" t="inlineStr">
        <is>
          <t>Var % mensal</t>
        </is>
      </c>
      <c r="J37" s="26" t="inlineStr">
        <is>
          <t>Mensal, acum. 3/6/9/12m (encadeado), 3m/6m anualizado, YoY via 12m</t>
        </is>
      </c>
      <c r="K37" s="26" t="inlineStr">
        <is>
          <t>MVP</t>
        </is>
      </c>
      <c r="L37" s="26" t="inlineStr">
        <is>
          <t>Verificado</t>
        </is>
      </c>
      <c r="M37" s="26" t="inlineStr">
        <is>
          <t>NT 57 (dez/2025, Tabela 11): EX1 = 16121 e EX2 = 27838; o título SGS de 16121 ('ex2') é enganoso; validador 2026-10-04: título oficial confere</t>
        </is>
      </c>
    </row>
    <row r="38">
      <c r="A38" s="25" t="inlineStr">
        <is>
          <t>BR-033</t>
        </is>
      </c>
      <c r="B38" s="26" t="inlineStr">
        <is>
          <t>Inflação</t>
        </is>
      </c>
      <c r="C38" s="26" t="inlineStr">
        <is>
          <t>Núcleos</t>
        </is>
      </c>
      <c r="D38" s="27" t="inlineStr">
        <is>
          <t>Núcleo de dupla ponderação (DP)</t>
        </is>
      </c>
      <c r="E38" s="26" t="inlineStr">
        <is>
          <t>BCB SGS</t>
        </is>
      </c>
      <c r="F38" s="26" t="inlineStr">
        <is>
          <t>16122</t>
        </is>
      </c>
      <c r="G38" s="26" t="inlineStr">
        <is>
          <t>Mensal</t>
        </is>
      </c>
      <c r="H38" s="26" t="inlineStr">
        <is>
          <t>% m/m</t>
        </is>
      </c>
      <c r="I38" s="26" t="inlineStr">
        <is>
          <t>Var % mensal</t>
        </is>
      </c>
      <c r="J38" s="26" t="inlineStr">
        <is>
          <t>Mensal, acum. 3/6/9/12m (encadeado), 3m/6m anualizado, YoY via 12m</t>
        </is>
      </c>
      <c r="K38" s="26" t="inlineStr">
        <is>
          <t>MVP</t>
        </is>
      </c>
      <c r="L38" s="26" t="inlineStr">
        <is>
          <t>Verificado</t>
        </is>
      </c>
      <c r="M38" s="26" t="inlineStr"/>
    </row>
    <row r="39">
      <c r="A39" s="25" t="inlineStr">
        <is>
          <t>BR-034</t>
        </is>
      </c>
      <c r="B39" s="26" t="inlineStr">
        <is>
          <t>Inflação</t>
        </is>
      </c>
      <c r="C39" s="26" t="inlineStr">
        <is>
          <t>Núcleos</t>
        </is>
      </c>
      <c r="D39" s="27" t="inlineStr">
        <is>
          <t>Núcleos EX3 e P55</t>
        </is>
      </c>
      <c r="E39" s="26" t="inlineStr">
        <is>
          <t>BCB SGS</t>
        </is>
      </c>
      <c r="F39" s="26" t="inlineStr">
        <is>
          <t>27839 / 28750</t>
        </is>
      </c>
      <c r="G39" s="26" t="inlineStr">
        <is>
          <t>Mensal</t>
        </is>
      </c>
      <c r="H39" s="26" t="inlineStr">
        <is>
          <t>% m/m</t>
        </is>
      </c>
      <c r="I39" s="26" t="inlineStr">
        <is>
          <t>Var % mensal</t>
        </is>
      </c>
      <c r="J39" s="26" t="inlineStr">
        <is>
          <t>Mensal, acum. 3/6/9/12m (encadeado), 3m/6m anualizado, YoY via 12m</t>
        </is>
      </c>
      <c r="K39" s="26" t="inlineStr">
        <is>
          <t>MVP</t>
        </is>
      </c>
      <c r="L39" s="26" t="inlineStr">
        <is>
          <t>Verificado</t>
        </is>
      </c>
      <c r="M39" s="26" t="inlineStr">
        <is>
          <t>Títulos SGS: "Núcleo por exclusão - EX3" (27839) e "Núcleo Percentil 55" (28750); sondagem 2026-10-04</t>
        </is>
      </c>
    </row>
    <row r="40">
      <c r="A40" s="25" t="inlineStr">
        <is>
          <t>BR-126</t>
        </is>
      </c>
      <c r="B40" s="26" t="inlineStr">
        <is>
          <t>Inflação</t>
        </is>
      </c>
      <c r="C40" s="26" t="inlineStr">
        <is>
          <t>Núcleos</t>
        </is>
      </c>
      <c r="D40" s="27" t="inlineStr">
        <is>
          <t>Núcleo ex-alimentação e energia (EX-FE)</t>
        </is>
      </c>
      <c r="E40" s="26" t="inlineStr">
        <is>
          <t>BCB SGS</t>
        </is>
      </c>
      <c r="F40" s="26" t="inlineStr">
        <is>
          <t>28751</t>
        </is>
      </c>
      <c r="G40" s="26" t="inlineStr">
        <is>
          <t>Mensal</t>
        </is>
      </c>
      <c r="H40" s="26" t="inlineStr">
        <is>
          <t>% m/m</t>
        </is>
      </c>
      <c r="I40" s="26" t="inlineStr">
        <is>
          <t>Var % mensal</t>
        </is>
      </c>
      <c r="J40" s="26" t="inlineStr">
        <is>
          <t>Mensal, acum. 3/6/9/12m (encadeado), 3m/6m anualizado, YoY via 12m</t>
        </is>
      </c>
      <c r="K40" s="26" t="inlineStr">
        <is>
          <t>MVP</t>
        </is>
      </c>
      <c r="L40" s="26" t="inlineStr">
        <is>
          <t>Verificado</t>
        </is>
      </c>
      <c r="M40" s="26" t="inlineStr">
        <is>
          <t>Título SGS 28751: "Núcleo Ex-alimentação e energia (EX-FE)"; comparável ao core dos EUA</t>
        </is>
      </c>
    </row>
    <row r="41">
      <c r="A41" s="25" t="inlineStr">
        <is>
          <t>BR-127</t>
        </is>
      </c>
      <c r="B41" s="26" t="inlineStr">
        <is>
          <t>Inflação</t>
        </is>
      </c>
      <c r="C41" s="26" t="inlineStr">
        <is>
          <t>Núcleos</t>
        </is>
      </c>
      <c r="D41" s="27" t="inlineStr">
        <is>
          <t>Média dos 5 núcleos do Copom (EX0, EX3, MS, DP, P55)</t>
        </is>
      </c>
      <c r="E41" s="26" t="inlineStr">
        <is>
          <t>Argus</t>
        </is>
      </c>
      <c r="F41" s="26" t="inlineStr">
        <is>
          <t>média(11427, 27839, 4466, 16122, 28750)</t>
        </is>
      </c>
      <c r="G41" s="26" t="inlineStr">
        <is>
          <t>Mensal</t>
        </is>
      </c>
      <c r="H41" s="26" t="inlineStr">
        <is>
          <t>% m/m</t>
        </is>
      </c>
      <c r="I41" s="26" t="inlineStr">
        <is>
          <t>Derivado</t>
        </is>
      </c>
      <c r="J41" s="26" t="inlineStr">
        <is>
          <t>Mensal, acum. 3/6/9/12m (encadeado), 3m/6m anualizado, YoY via 12m</t>
        </is>
      </c>
      <c r="K41" s="26" t="inlineStr">
        <is>
          <t>MVP</t>
        </is>
      </c>
      <c r="L41" s="26" t="inlineStr">
        <is>
          <t>Derivado</t>
        </is>
      </c>
      <c r="M41" s="26" t="inlineStr">
        <is>
          <t>Leitura-síntese citada pelo Copom; recalcular e conferir contra o RPM</t>
        </is>
      </c>
    </row>
    <row r="42">
      <c r="A42" s="25" t="inlineStr">
        <is>
          <t>BR-128</t>
        </is>
      </c>
      <c r="B42" s="26" t="inlineStr">
        <is>
          <t>Inflação</t>
        </is>
      </c>
      <c r="C42" s="26" t="inlineStr">
        <is>
          <t>Núcleos</t>
        </is>
      </c>
      <c r="D42" s="27" t="inlineStr">
        <is>
          <t>Mediana ponderada do IPCA (P50)</t>
        </is>
      </c>
      <c r="E42" s="26" t="inlineStr">
        <is>
          <t>Argus</t>
        </is>
      </c>
      <c r="F42" s="26" t="inlineStr">
        <is>
          <t>f(t7060): subitens ordenados por variação, peso acumulado = 50%</t>
        </is>
      </c>
      <c r="G42" s="26" t="inlineStr">
        <is>
          <t>Mensal</t>
        </is>
      </c>
      <c r="H42" s="26" t="inlineStr">
        <is>
          <t>% m/m</t>
        </is>
      </c>
      <c r="I42" s="26" t="inlineStr">
        <is>
          <t>Derivado</t>
        </is>
      </c>
      <c r="J42" s="26" t="inlineStr">
        <is>
          <t>Mensal, acum. 3/6/9/12m (encadeado), 3m/6m anualizado, YoY via 12m</t>
        </is>
      </c>
      <c r="K42" s="26" t="inlineStr">
        <is>
          <t>MVP</t>
        </is>
      </c>
      <c r="L42" s="26" t="inlineStr">
        <is>
          <t>Derivado</t>
        </is>
      </c>
      <c r="M42" s="26" t="inlineStr">
        <is>
          <t>Método do P55 do BCB (NT 57) em 50%; o mesmo cálculo em 55% reproduz o SGS 28750 em 80 de 80 meses (2020-2026). Desde 2020 (tabela 7060)</t>
        </is>
      </c>
    </row>
    <row r="43">
      <c r="A43" s="25" t="inlineStr">
        <is>
          <t>BR-129</t>
        </is>
      </c>
      <c r="B43" s="26" t="inlineStr">
        <is>
          <t>Inflação</t>
        </is>
      </c>
      <c r="C43" s="26" t="inlineStr">
        <is>
          <t>Núcleos</t>
        </is>
      </c>
      <c r="D43" s="27" t="inlineStr">
        <is>
          <t>Bens industriais subjacentes (EX3 Industriais)</t>
        </is>
      </c>
      <c r="E43" s="26" t="inlineStr">
        <is>
          <t>BCB SGS</t>
        </is>
      </c>
      <c r="F43" s="26" t="inlineStr">
        <is>
          <t>29684</t>
        </is>
      </c>
      <c r="G43" s="26" t="inlineStr">
        <is>
          <t>Mensal</t>
        </is>
      </c>
      <c r="H43" s="26" t="inlineStr">
        <is>
          <t>% m/m</t>
        </is>
      </c>
      <c r="I43" s="26" t="inlineStr">
        <is>
          <t>Var % mensal</t>
        </is>
      </c>
      <c r="J43" s="26" t="inlineStr">
        <is>
          <t>Mensal, acum. 3/6/9/12m (encadeado), 3m/6m anualizado, YoY via 12m</t>
        </is>
      </c>
      <c r="K43" s="26" t="inlineStr">
        <is>
          <t>MVP</t>
        </is>
      </c>
      <c r="L43" s="26" t="inlineStr">
        <is>
          <t>Verificado</t>
        </is>
      </c>
      <c r="M43" s="26" t="inlineStr">
        <is>
          <t>Série oficial do BCB desde a NT 57 (dez/2025, Tabela 11): antes era cálculo próprio; validador 2026-10-04: título oficial confere</t>
        </is>
      </c>
    </row>
    <row r="44">
      <c r="A44" s="25" t="inlineStr">
        <is>
          <t>BR-130</t>
        </is>
      </c>
      <c r="B44" s="26" t="inlineStr">
        <is>
          <t>Inflação</t>
        </is>
      </c>
      <c r="C44" s="26" t="inlineStr">
        <is>
          <t>Núcleos</t>
        </is>
      </c>
      <c r="D44" s="27" t="inlineStr">
        <is>
          <t>Serviços intensivos em trabalho</t>
        </is>
      </c>
      <c r="E44" s="26" t="inlineStr">
        <is>
          <t>Argus</t>
        </is>
      </c>
      <c r="F44" s="26" t="inlineStr">
        <is>
          <t>f(t7060): subitens de serviços com alto peso de mão de obra</t>
        </is>
      </c>
      <c r="G44" s="26" t="inlineStr">
        <is>
          <t>Mensal</t>
        </is>
      </c>
      <c r="H44" s="26" t="inlineStr">
        <is>
          <t>% m/m</t>
        </is>
      </c>
      <c r="I44" s="26" t="inlineStr">
        <is>
          <t>Derivado</t>
        </is>
      </c>
      <c r="J44" s="26" t="inlineStr">
        <is>
          <t>Mensal, acum. 3/6/9/12m (encadeado), 3m/6m anualizado, YoY via 12m</t>
        </is>
      </c>
      <c r="K44" s="26" t="inlineStr">
        <is>
          <t>MVP</t>
        </is>
      </c>
      <c r="L44" s="26" t="inlineStr">
        <is>
          <t>Derivado</t>
        </is>
      </c>
      <c r="M44" s="26" t="inlineStr">
        <is>
          <t>Lista de subitens curada a partir da classificação do BCB; ligação com Mercado de Trabalho</t>
        </is>
      </c>
    </row>
    <row r="45">
      <c r="A45" s="25" t="inlineStr">
        <is>
          <t>BR-131</t>
        </is>
      </c>
      <c r="B45" s="26" t="inlineStr">
        <is>
          <t>Inflação</t>
        </is>
      </c>
      <c r="C45" s="26" t="inlineStr">
        <is>
          <t>Núcleos</t>
        </is>
      </c>
      <c r="D45" s="27" t="inlineStr">
        <is>
          <t>Preços rígidos × flexíveis (sticky/flexible)</t>
        </is>
      </c>
      <c r="E45" s="26" t="inlineStr">
        <is>
          <t>Argus</t>
        </is>
      </c>
      <c r="F45" s="26" t="inlineStr">
        <is>
          <t>f(t7060 + classificação por frequência de reajuste)</t>
        </is>
      </c>
      <c r="G45" s="26" t="inlineStr">
        <is>
          <t>Mensal</t>
        </is>
      </c>
      <c r="H45" s="26" t="inlineStr">
        <is>
          <t>% m/m</t>
        </is>
      </c>
      <c r="I45" s="26" t="inlineStr">
        <is>
          <t>Derivado</t>
        </is>
      </c>
      <c r="J45" s="26" t="inlineStr">
        <is>
          <t>Mensal, acum. 3/6/9/12m (encadeado), 3m/6m anualizado, YoY via 12m</t>
        </is>
      </c>
      <c r="K45" s="26" t="inlineStr">
        <is>
          <t>v2</t>
        </is>
      </c>
      <c r="L45" s="26" t="inlineStr">
        <is>
          <t>Derivado</t>
        </is>
      </c>
      <c r="M45" s="26" t="inlineStr">
        <is>
          <t>Estilo Fed de Atlanta; exige montar a classificação de subitens</t>
        </is>
      </c>
    </row>
    <row r="46">
      <c r="A46" s="25" t="inlineStr">
        <is>
          <t>BR-035</t>
        </is>
      </c>
      <c r="B46" s="26" t="inlineStr">
        <is>
          <t>Inflação</t>
        </is>
      </c>
      <c r="C46" s="26" t="inlineStr">
        <is>
          <t>Aberturas</t>
        </is>
      </c>
      <c r="D46" s="27" t="inlineStr">
        <is>
          <t>Preços livres</t>
        </is>
      </c>
      <c r="E46" s="26" t="inlineStr">
        <is>
          <t>BCB SGS</t>
        </is>
      </c>
      <c r="F46" s="26" t="inlineStr">
        <is>
          <t>11428</t>
        </is>
      </c>
      <c r="G46" s="26" t="inlineStr">
        <is>
          <t>Mensal</t>
        </is>
      </c>
      <c r="H46" s="26" t="inlineStr">
        <is>
          <t>% m/m</t>
        </is>
      </c>
      <c r="I46" s="26" t="inlineStr">
        <is>
          <t>Var % mensal</t>
        </is>
      </c>
      <c r="J46" s="26" t="inlineStr">
        <is>
          <t>Mensal, acum. 3/6/9/12m (encadeado), 3m/6m anualizado, YoY via 12m</t>
        </is>
      </c>
      <c r="K46" s="26" t="inlineStr">
        <is>
          <t>MVP</t>
        </is>
      </c>
      <c r="L46" s="26" t="inlineStr">
        <is>
          <t>Verificado</t>
        </is>
      </c>
      <c r="M46" s="26" t="inlineStr"/>
    </row>
    <row r="47">
      <c r="A47" s="25" t="inlineStr">
        <is>
          <t>BR-036</t>
        </is>
      </c>
      <c r="B47" s="26" t="inlineStr">
        <is>
          <t>Inflação</t>
        </is>
      </c>
      <c r="C47" s="26" t="inlineStr">
        <is>
          <t>Aberturas</t>
        </is>
      </c>
      <c r="D47" s="27" t="inlineStr">
        <is>
          <t>Preços monitorados</t>
        </is>
      </c>
      <c r="E47" s="26" t="inlineStr">
        <is>
          <t>BCB SGS</t>
        </is>
      </c>
      <c r="F47" s="26" t="inlineStr">
        <is>
          <t>4449</t>
        </is>
      </c>
      <c r="G47" s="26" t="inlineStr">
        <is>
          <t>Mensal</t>
        </is>
      </c>
      <c r="H47" s="26" t="inlineStr">
        <is>
          <t>% m/m</t>
        </is>
      </c>
      <c r="I47" s="26" t="inlineStr">
        <is>
          <t>Var % mensal</t>
        </is>
      </c>
      <c r="J47" s="26" t="inlineStr">
        <is>
          <t>Mensal, acum. 3/6/9/12m (encadeado), 3m/6m anualizado, YoY via 12m</t>
        </is>
      </c>
      <c r="K47" s="26" t="inlineStr">
        <is>
          <t>MVP</t>
        </is>
      </c>
      <c r="L47" s="26" t="inlineStr">
        <is>
          <t>Verificado</t>
        </is>
      </c>
      <c r="M47" s="26" t="inlineStr"/>
    </row>
    <row r="48">
      <c r="A48" s="25" t="inlineStr">
        <is>
          <t>BR-037</t>
        </is>
      </c>
      <c r="B48" s="26" t="inlineStr">
        <is>
          <t>Inflação</t>
        </is>
      </c>
      <c r="C48" s="26" t="inlineStr">
        <is>
          <t>Aberturas</t>
        </is>
      </c>
      <c r="D48" s="27" t="inlineStr">
        <is>
          <t>Serviços</t>
        </is>
      </c>
      <c r="E48" s="26" t="inlineStr">
        <is>
          <t>BCB SGS</t>
        </is>
      </c>
      <c r="F48" s="26" t="inlineStr">
        <is>
          <t>10844</t>
        </is>
      </c>
      <c r="G48" s="26" t="inlineStr">
        <is>
          <t>Mensal</t>
        </is>
      </c>
      <c r="H48" s="26" t="inlineStr">
        <is>
          <t>% m/m</t>
        </is>
      </c>
      <c r="I48" s="26" t="inlineStr">
        <is>
          <t>Var % mensal</t>
        </is>
      </c>
      <c r="J48" s="26" t="inlineStr">
        <is>
          <t>Mensal, acum. 3/6/9/12m (encadeado), 3m/6m anualizado, YoY via 12m</t>
        </is>
      </c>
      <c r="K48" s="26" t="inlineStr">
        <is>
          <t>MVP</t>
        </is>
      </c>
      <c r="L48" s="26" t="inlineStr">
        <is>
          <t>Verificado</t>
        </is>
      </c>
      <c r="M48" s="26" t="inlineStr"/>
    </row>
    <row r="49">
      <c r="A49" s="25" t="inlineStr">
        <is>
          <t>BR-038</t>
        </is>
      </c>
      <c r="B49" s="26" t="inlineStr">
        <is>
          <t>Inflação</t>
        </is>
      </c>
      <c r="C49" s="26" t="inlineStr">
        <is>
          <t>Aberturas</t>
        </is>
      </c>
      <c r="D49" s="27" t="inlineStr">
        <is>
          <t>Bens industriais e alimentação no domicílio</t>
        </is>
      </c>
      <c r="E49" s="26" t="inlineStr">
        <is>
          <t>BCB SGS</t>
        </is>
      </c>
      <c r="F49" s="26" t="inlineStr">
        <is>
          <t>27863 / 27864</t>
        </is>
      </c>
      <c r="G49" s="26" t="inlineStr">
        <is>
          <t>Mensal</t>
        </is>
      </c>
      <c r="H49" s="26" t="inlineStr">
        <is>
          <t>% m/m</t>
        </is>
      </c>
      <c r="I49" s="26" t="inlineStr">
        <is>
          <t>Var % mensal</t>
        </is>
      </c>
      <c r="J49" s="26" t="inlineStr">
        <is>
          <t>Mensal, acum. 3/6/9/12m (encadeado), 3m/6m anualizado, YoY via 12m</t>
        </is>
      </c>
      <c r="K49" s="26" t="inlineStr">
        <is>
          <t>MVP</t>
        </is>
      </c>
      <c r="L49" s="26" t="inlineStr">
        <is>
          <t>Verificado</t>
        </is>
      </c>
      <c r="M49" s="26" t="inlineStr"/>
    </row>
    <row r="50">
      <c r="A50" s="25" t="inlineStr">
        <is>
          <t>BR-039</t>
        </is>
      </c>
      <c r="B50" s="26" t="inlineStr">
        <is>
          <t>Inflação</t>
        </is>
      </c>
      <c r="C50" s="26" t="inlineStr">
        <is>
          <t>Aberturas</t>
        </is>
      </c>
      <c r="D50" s="27" t="inlineStr">
        <is>
          <t>Comercializáveis e não comercializáveis</t>
        </is>
      </c>
      <c r="E50" s="26" t="inlineStr">
        <is>
          <t>BCB SGS</t>
        </is>
      </c>
      <c r="F50" s="26" t="inlineStr">
        <is>
          <t>4447 / 4448</t>
        </is>
      </c>
      <c r="G50" s="26" t="inlineStr">
        <is>
          <t>Mensal</t>
        </is>
      </c>
      <c r="H50" s="26" t="inlineStr">
        <is>
          <t>% m/m</t>
        </is>
      </c>
      <c r="I50" s="26" t="inlineStr">
        <is>
          <t>Var % mensal</t>
        </is>
      </c>
      <c r="J50" s="26" t="inlineStr">
        <is>
          <t>Mensal, acum. 3/6/9/12m (encadeado), 3m/6m anualizado, YoY via 12m</t>
        </is>
      </c>
      <c r="K50" s="26" t="inlineStr">
        <is>
          <t>v2</t>
        </is>
      </c>
      <c r="L50" s="26" t="inlineStr">
        <is>
          <t>Confirmar</t>
        </is>
      </c>
      <c r="M50" s="26" t="inlineStr"/>
    </row>
    <row r="51">
      <c r="A51" s="25" t="inlineStr">
        <is>
          <t>BR-040</t>
        </is>
      </c>
      <c r="B51" s="26" t="inlineStr">
        <is>
          <t>Inflação</t>
        </is>
      </c>
      <c r="C51" s="26" t="inlineStr">
        <is>
          <t>Aberturas</t>
        </is>
      </c>
      <c r="D51" s="27" t="inlineStr">
        <is>
          <t>Índice de difusão</t>
        </is>
      </c>
      <c r="E51" s="26" t="inlineStr">
        <is>
          <t>BCB SGS</t>
        </is>
      </c>
      <c r="F51" s="26" t="inlineStr">
        <is>
          <t>21379</t>
        </is>
      </c>
      <c r="G51" s="26" t="inlineStr">
        <is>
          <t>Mensal</t>
        </is>
      </c>
      <c r="H51" s="26" t="inlineStr">
        <is>
          <t>%</t>
        </is>
      </c>
      <c r="I51" s="26" t="inlineStr">
        <is>
          <t>Taxa</t>
        </is>
      </c>
      <c r="J51" s="26" t="inlineStr">
        <is>
          <t>Nível, Δ p.p. (MoM, YoY, 3/6/12m)</t>
        </is>
      </c>
      <c r="K51" s="26" t="inlineStr">
        <is>
          <t>MVP</t>
        </is>
      </c>
      <c r="L51" s="26" t="inlineStr">
        <is>
          <t>Verificado</t>
        </is>
      </c>
      <c r="M51" s="26" t="inlineStr"/>
    </row>
    <row r="52">
      <c r="A52" s="25" t="inlineStr">
        <is>
          <t>BR-041</t>
        </is>
      </c>
      <c r="B52" s="26" t="inlineStr">
        <is>
          <t>Inflação</t>
        </is>
      </c>
      <c r="C52" s="26" t="inlineStr">
        <is>
          <t>Aberturas</t>
        </is>
      </c>
      <c r="D52" s="27" t="inlineStr">
        <is>
          <t>IPCA por subitem e peso</t>
        </is>
      </c>
      <c r="E52" s="26" t="inlineStr">
        <is>
          <t>IBGE SIDRA</t>
        </is>
      </c>
      <c r="F52" s="26" t="inlineStr">
        <is>
          <t>t7060/v63,66/c315=all</t>
        </is>
      </c>
      <c r="G52" s="26" t="inlineStr">
        <is>
          <t>Mensal</t>
        </is>
      </c>
      <c r="H52" s="26" t="inlineStr">
        <is>
          <t>% m/m e peso</t>
        </is>
      </c>
      <c r="I52" s="26" t="inlineStr">
        <is>
          <t>Var % mensal</t>
        </is>
      </c>
      <c r="J52" s="26" t="inlineStr">
        <is>
          <t>Mensal, acum. 3/6/9/12m (encadeado), 3m/6m anualizado, YoY via 12m</t>
        </is>
      </c>
      <c r="K52" s="26" t="inlineStr">
        <is>
          <t>MVP</t>
        </is>
      </c>
      <c r="L52" s="26" t="inlineStr">
        <is>
          <t>Verificado</t>
        </is>
      </c>
      <c r="M52" s="26" t="inlineStr">
        <is>
          <t>Base para calcular serviços subjacentes, supercore BR e aberturas próprias</t>
        </is>
      </c>
    </row>
    <row r="53">
      <c r="A53" s="25" t="inlineStr">
        <is>
          <t>BR-042</t>
        </is>
      </c>
      <c r="B53" s="26" t="inlineStr">
        <is>
          <t>Inflação</t>
        </is>
      </c>
      <c r="C53" s="26" t="inlineStr">
        <is>
          <t>Aberturas</t>
        </is>
      </c>
      <c r="D53" s="27" t="inlineStr">
        <is>
          <t>Serviços subjacentes (EX3 Serviços)</t>
        </is>
      </c>
      <c r="E53" s="26" t="inlineStr">
        <is>
          <t>BCB SGS</t>
        </is>
      </c>
      <c r="F53" s="26" t="inlineStr">
        <is>
          <t>29683</t>
        </is>
      </c>
      <c r="G53" s="26" t="inlineStr">
        <is>
          <t>Mensal</t>
        </is>
      </c>
      <c r="H53" s="26" t="inlineStr">
        <is>
          <t>% m/m</t>
        </is>
      </c>
      <c r="I53" s="26" t="inlineStr">
        <is>
          <t>Var % mensal</t>
        </is>
      </c>
      <c r="J53" s="26" t="inlineStr">
        <is>
          <t>Mensal, acum. 3/6/9/12m (encadeado), 3m/6m anualizado, YoY via 12m</t>
        </is>
      </c>
      <c r="K53" s="26" t="inlineStr">
        <is>
          <t>MVP</t>
        </is>
      </c>
      <c r="L53" s="26" t="inlineStr">
        <is>
          <t>Verificado</t>
        </is>
      </c>
      <c r="M53" s="26" t="inlineStr">
        <is>
          <t>Série oficial do BCB desde a NT 57 (dez/2025, Tabela 11): antes era cálculo próprio; validador 2026-10-04: título oficial confere</t>
        </is>
      </c>
    </row>
    <row r="54">
      <c r="A54" s="25" t="inlineStr">
        <is>
          <t>BR-043</t>
        </is>
      </c>
      <c r="B54" s="26" t="inlineStr">
        <is>
          <t>Inflação</t>
        </is>
      </c>
      <c r="C54" s="26" t="inlineStr">
        <is>
          <t>Atacado</t>
        </is>
      </c>
      <c r="D54" s="27" t="inlineStr">
        <is>
          <t>IGP-M e IGP-DI</t>
        </is>
      </c>
      <c r="E54" s="26" t="inlineStr">
        <is>
          <t>BCB SGS</t>
        </is>
      </c>
      <c r="F54" s="26" t="inlineStr">
        <is>
          <t>189 / 190</t>
        </is>
      </c>
      <c r="G54" s="26" t="inlineStr">
        <is>
          <t>Mensal</t>
        </is>
      </c>
      <c r="H54" s="26" t="inlineStr">
        <is>
          <t>% m/m</t>
        </is>
      </c>
      <c r="I54" s="26" t="inlineStr">
        <is>
          <t>Var % mensal</t>
        </is>
      </c>
      <c r="J54" s="26" t="inlineStr">
        <is>
          <t>Mensal, acum. 3/6/9/12m (encadeado), 3m/6m anualizado, YoY via 12m</t>
        </is>
      </c>
      <c r="K54" s="26" t="inlineStr">
        <is>
          <t>MVP</t>
        </is>
      </c>
      <c r="L54" s="26" t="inlineStr">
        <is>
          <t>Verificado</t>
        </is>
      </c>
      <c r="M54" s="26" t="inlineStr">
        <is>
          <t>Equivalente ao PPI na ótica de preços ao produtor</t>
        </is>
      </c>
    </row>
    <row r="55">
      <c r="A55" s="25" t="inlineStr">
        <is>
          <t>BR-044</t>
        </is>
      </c>
      <c r="B55" s="26" t="inlineStr">
        <is>
          <t>Inflação</t>
        </is>
      </c>
      <c r="C55" s="26" t="inlineStr">
        <is>
          <t>Atacado</t>
        </is>
      </c>
      <c r="D55" s="27" t="inlineStr">
        <is>
          <t>IPA (atacado) e INCC</t>
        </is>
      </c>
      <c r="E55" s="26" t="inlineStr">
        <is>
          <t>BCB SGS</t>
        </is>
      </c>
      <c r="F55" s="26" t="inlineStr">
        <is>
          <t>A mapear</t>
        </is>
      </c>
      <c r="G55" s="26" t="inlineStr">
        <is>
          <t>Mensal</t>
        </is>
      </c>
      <c r="H55" s="26" t="inlineStr">
        <is>
          <t>% m/m</t>
        </is>
      </c>
      <c r="I55" s="26" t="inlineStr">
        <is>
          <t>Var % mensal</t>
        </is>
      </c>
      <c r="J55" s="26" t="inlineStr">
        <is>
          <t>Mensal, acum. 3/6/9/12m (encadeado), 3m/6m anualizado, YoY via 12m</t>
        </is>
      </c>
      <c r="K55" s="26" t="inlineStr">
        <is>
          <t>v2</t>
        </is>
      </c>
      <c r="L55" s="26" t="inlineStr">
        <is>
          <t>A mapear</t>
        </is>
      </c>
      <c r="M55" s="26" t="inlineStr"/>
    </row>
    <row r="56">
      <c r="A56" s="25" t="inlineStr">
        <is>
          <t>BR-045</t>
        </is>
      </c>
      <c r="B56" s="26" t="inlineStr">
        <is>
          <t>Inflação</t>
        </is>
      </c>
      <c r="C56" s="26" t="inlineStr">
        <is>
          <t>Atacado</t>
        </is>
      </c>
      <c r="D56" s="27" t="inlineStr">
        <is>
          <t>IC-Br — índice de commodities BCB (total, agro, metal, energia)</t>
        </is>
      </c>
      <c r="E56" s="26" t="inlineStr">
        <is>
          <t>BCB SGS</t>
        </is>
      </c>
      <c r="F56" s="26" t="inlineStr">
        <is>
          <t>27574–27577</t>
        </is>
      </c>
      <c r="G56" s="26" t="inlineStr">
        <is>
          <t>Mensal</t>
        </is>
      </c>
      <c r="H56" s="26" t="inlineStr">
        <is>
          <t>Índice</t>
        </is>
      </c>
      <c r="I56" s="26" t="inlineStr">
        <is>
          <t>Índice</t>
        </is>
      </c>
      <c r="J56" s="26" t="inlineStr">
        <is>
          <t>Nível, MoM, QoQ, YoY, acum. 3/6/9/12m, 3m/6m SAAR, real/nominal</t>
        </is>
      </c>
      <c r="K56" s="26" t="inlineStr">
        <is>
          <t>MVP</t>
        </is>
      </c>
      <c r="L56" s="26" t="inlineStr">
        <is>
          <t>Verificado</t>
        </is>
      </c>
      <c r="M56" s="26" t="inlineStr">
        <is>
          <t>Equivalente a container freight/commodities como indicador antecedente</t>
        </is>
      </c>
    </row>
    <row r="57">
      <c r="A57" s="25" t="inlineStr">
        <is>
          <t>BR-046</t>
        </is>
      </c>
      <c r="B57" s="26" t="inlineStr">
        <is>
          <t>Inflação</t>
        </is>
      </c>
      <c r="C57" s="26" t="inlineStr">
        <is>
          <t>Expectativas</t>
        </is>
      </c>
      <c r="D57" s="27" t="inlineStr">
        <is>
          <t>Focus — IPCA (ano corrente, seguinte, +2, +3)</t>
        </is>
      </c>
      <c r="E57" s="26" t="inlineStr">
        <is>
          <t>BCB Olinda (Focus)</t>
        </is>
      </c>
      <c r="F57" s="26" t="inlineStr">
        <is>
          <t>ExpectativasMercadoAnuais · Indicador='IPCA'</t>
        </is>
      </c>
      <c r="G57" s="26" t="inlineStr">
        <is>
          <t>Semanal</t>
        </is>
      </c>
      <c r="H57" s="26" t="inlineStr">
        <is>
          <t>%</t>
        </is>
      </c>
      <c r="I57" s="26" t="inlineStr">
        <is>
          <t>Taxa</t>
        </is>
      </c>
      <c r="J57" s="26" t="inlineStr">
        <is>
          <t>Nível, Δ p.p. (MoM, YoY, 3/6/12m)</t>
        </is>
      </c>
      <c r="K57" s="26" t="inlineStr">
        <is>
          <t>MVP</t>
        </is>
      </c>
      <c r="L57" s="26" t="inlineStr">
        <is>
          <t>Verificado</t>
        </is>
      </c>
      <c r="M57" s="26" t="inlineStr"/>
    </row>
    <row r="58">
      <c r="A58" s="25" t="inlineStr">
        <is>
          <t>BR-047</t>
        </is>
      </c>
      <c r="B58" s="26" t="inlineStr">
        <is>
          <t>Inflação</t>
        </is>
      </c>
      <c r="C58" s="26" t="inlineStr">
        <is>
          <t>Expectativas</t>
        </is>
      </c>
      <c r="D58" s="27" t="inlineStr">
        <is>
          <t>Focus — IPCA 12 meses à frente</t>
        </is>
      </c>
      <c r="E58" s="26" t="inlineStr">
        <is>
          <t>BCB Olinda (Focus)</t>
        </is>
      </c>
      <c r="F58" s="26" t="inlineStr">
        <is>
          <t>ExpectativasMercadoInflacao12Meses · Indicador='IPCA'</t>
        </is>
      </c>
      <c r="G58" s="26" t="inlineStr">
        <is>
          <t>Diária</t>
        </is>
      </c>
      <c r="H58" s="26" t="inlineStr">
        <is>
          <t>%</t>
        </is>
      </c>
      <c r="I58" s="26" t="inlineStr">
        <is>
          <t>Taxa</t>
        </is>
      </c>
      <c r="J58" s="26" t="inlineStr">
        <is>
          <t>Nível, Δ p.p. (MoM, YoY, 3/6/12m)</t>
        </is>
      </c>
      <c r="K58" s="26" t="inlineStr">
        <is>
          <t>MVP</t>
        </is>
      </c>
      <c r="L58" s="26" t="inlineStr">
        <is>
          <t>Verificado</t>
        </is>
      </c>
      <c r="M58" s="26" t="inlineStr">
        <is>
          <t>Série suavizada; usada no juro real ex-ante</t>
        </is>
      </c>
    </row>
    <row r="59">
      <c r="A59" s="25" t="inlineStr">
        <is>
          <t>BR-048</t>
        </is>
      </c>
      <c r="B59" s="26" t="inlineStr">
        <is>
          <t>Inflação</t>
        </is>
      </c>
      <c r="C59" s="26" t="inlineStr">
        <is>
          <t>Expectativas</t>
        </is>
      </c>
      <c r="D59" s="27" t="inlineStr">
        <is>
          <t>Inflação implícita (breakeven) prefixado × NTN-B</t>
        </is>
      </c>
      <c r="E59" s="26" t="inlineStr">
        <is>
          <t>Tesouro Transparente</t>
        </is>
      </c>
      <c r="F59" s="26" t="inlineStr">
        <is>
          <t>Taxas históricas do Tesouro Direto (CSV)</t>
        </is>
      </c>
      <c r="G59" s="26" t="inlineStr">
        <is>
          <t>Diária</t>
        </is>
      </c>
      <c r="H59" s="26" t="inlineStr">
        <is>
          <t>%</t>
        </is>
      </c>
      <c r="I59" s="26" t="inlineStr">
        <is>
          <t>Taxa</t>
        </is>
      </c>
      <c r="J59" s="26" t="inlineStr">
        <is>
          <t>Nível, Δ p.p. (MoM, YoY, 3/6/12m)</t>
        </is>
      </c>
      <c r="K59" s="26" t="inlineStr">
        <is>
          <t>v2</t>
        </is>
      </c>
      <c r="L59" s="26" t="inlineStr">
        <is>
          <t>Confirmar</t>
        </is>
      </c>
      <c r="M59" s="26" t="inlineStr">
        <is>
          <t>Equivalente ao 5y5y dos EUA</t>
        </is>
      </c>
    </row>
    <row r="60">
      <c r="A60" s="25" t="inlineStr">
        <is>
          <t>BR-049</t>
        </is>
      </c>
      <c r="B60" s="26" t="inlineStr">
        <is>
          <t>Inflação</t>
        </is>
      </c>
      <c r="C60" s="26" t="inlineStr">
        <is>
          <t>Meta</t>
        </is>
      </c>
      <c r="D60" s="27" t="inlineStr">
        <is>
          <t>Meta de inflação e intervalo de tolerância</t>
        </is>
      </c>
      <c r="E60" s="26" t="inlineStr">
        <is>
          <t>BCB / CMN</t>
        </is>
      </c>
      <c r="F60" s="26" t="inlineStr">
        <is>
          <t>Curado</t>
        </is>
      </c>
      <c r="G60" s="26" t="inlineStr">
        <is>
          <t>Anual</t>
        </is>
      </c>
      <c r="H60" s="26" t="inlineStr">
        <is>
          <t>%</t>
        </is>
      </c>
      <c r="I60" s="26" t="inlineStr">
        <is>
          <t>Taxa</t>
        </is>
      </c>
      <c r="J60" s="26" t="inlineStr">
        <is>
          <t>Nível, Δ p.p. (MoM, YoY, 3/6/12m)</t>
        </is>
      </c>
      <c r="K60" s="26" t="inlineStr">
        <is>
          <t>MVP</t>
        </is>
      </c>
      <c r="L60" s="26" t="inlineStr">
        <is>
          <t>Curado</t>
        </is>
      </c>
      <c r="M60" s="26" t="inlineStr">
        <is>
          <t>Tabela própria; meta contínua desde 2025</t>
        </is>
      </c>
    </row>
    <row r="61">
      <c r="A61" s="25" t="inlineStr">
        <is>
          <t>BR-050</t>
        </is>
      </c>
      <c r="B61" s="26" t="inlineStr">
        <is>
          <t>Política Monetária</t>
        </is>
      </c>
      <c r="C61" s="26" t="inlineStr">
        <is>
          <t>Juros</t>
        </is>
      </c>
      <c r="D61" s="27" t="inlineStr">
        <is>
          <t>Meta Selic definida pelo Copom</t>
        </is>
      </c>
      <c r="E61" s="26" t="inlineStr">
        <is>
          <t>BCB SGS</t>
        </is>
      </c>
      <c r="F61" s="26" t="inlineStr">
        <is>
          <t>432</t>
        </is>
      </c>
      <c r="G61" s="26" t="inlineStr">
        <is>
          <t>Diária</t>
        </is>
      </c>
      <c r="H61" s="26" t="inlineStr">
        <is>
          <t>% a.a.</t>
        </is>
      </c>
      <c r="I61" s="26" t="inlineStr">
        <is>
          <t>Taxa</t>
        </is>
      </c>
      <c r="J61" s="26" t="inlineStr">
        <is>
          <t>Nível, Δ p.p. (MoM, YoY, 3/6/12m)</t>
        </is>
      </c>
      <c r="K61" s="26" t="inlineStr">
        <is>
          <t>MVP</t>
        </is>
      </c>
      <c r="L61" s="26" t="inlineStr">
        <is>
          <t>Verificado</t>
        </is>
      </c>
      <c r="M61" s="26" t="inlineStr">
        <is>
          <t>Fonte dos ciclos do Copom; o SGS registra a meta vigente até a próxima reunião (data futura é normal)</t>
        </is>
      </c>
    </row>
    <row r="62">
      <c r="A62" s="25" t="inlineStr">
        <is>
          <t>BR-051</t>
        </is>
      </c>
      <c r="B62" s="26" t="inlineStr">
        <is>
          <t>Política Monetária</t>
        </is>
      </c>
      <c r="C62" s="26" t="inlineStr">
        <is>
          <t>Juros</t>
        </is>
      </c>
      <c r="D62" s="27" t="inlineStr">
        <is>
          <t>Selic efetiva diária</t>
        </is>
      </c>
      <c r="E62" s="26" t="inlineStr">
        <is>
          <t>BCB SGS</t>
        </is>
      </c>
      <c r="F62" s="26" t="inlineStr">
        <is>
          <t>11</t>
        </is>
      </c>
      <c r="G62" s="26" t="inlineStr">
        <is>
          <t>Diária</t>
        </is>
      </c>
      <c r="H62" s="26" t="inlineStr">
        <is>
          <t>% a.d.</t>
        </is>
      </c>
      <c r="I62" s="26" t="inlineStr">
        <is>
          <t>Taxa</t>
        </is>
      </c>
      <c r="J62" s="26" t="inlineStr">
        <is>
          <t>Nível, Δ p.p. (MoM, YoY, 3/6/12m)</t>
        </is>
      </c>
      <c r="K62" s="26" t="inlineStr">
        <is>
          <t>v2</t>
        </is>
      </c>
      <c r="L62" s="26" t="inlineStr">
        <is>
          <t>Verificado</t>
        </is>
      </c>
      <c r="M62" s="26" t="inlineStr">
        <is>
          <t>Confirmado no portal BCB</t>
        </is>
      </c>
    </row>
    <row r="63">
      <c r="A63" s="25" t="inlineStr">
        <is>
          <t>BR-052</t>
        </is>
      </c>
      <c r="B63" s="26" t="inlineStr">
        <is>
          <t>Política Monetária</t>
        </is>
      </c>
      <c r="C63" s="26" t="inlineStr">
        <is>
          <t>Juros</t>
        </is>
      </c>
      <c r="D63" s="27" t="inlineStr">
        <is>
          <t>Selic anualizada base 252</t>
        </is>
      </c>
      <c r="E63" s="26" t="inlineStr">
        <is>
          <t>BCB SGS</t>
        </is>
      </c>
      <c r="F63" s="26" t="inlineStr">
        <is>
          <t>1178</t>
        </is>
      </c>
      <c r="G63" s="26" t="inlineStr">
        <is>
          <t>Diária</t>
        </is>
      </c>
      <c r="H63" s="26" t="inlineStr">
        <is>
          <t>% a.a.</t>
        </is>
      </c>
      <c r="I63" s="26" t="inlineStr">
        <is>
          <t>Taxa</t>
        </is>
      </c>
      <c r="J63" s="26" t="inlineStr">
        <is>
          <t>Nível, Δ p.p. (MoM, YoY, 3/6/12m)</t>
        </is>
      </c>
      <c r="K63" s="26" t="inlineStr">
        <is>
          <t>MVP</t>
        </is>
      </c>
      <c r="L63" s="26" t="inlineStr">
        <is>
          <t>Verificado</t>
        </is>
      </c>
      <c r="M63" s="26" t="inlineStr">
        <is>
          <t>Confirmado no portal BCB; limite de 10 anos por consulta</t>
        </is>
      </c>
    </row>
    <row r="64">
      <c r="A64" s="25" t="inlineStr">
        <is>
          <t>BR-053</t>
        </is>
      </c>
      <c r="B64" s="26" t="inlineStr">
        <is>
          <t>Política Monetária</t>
        </is>
      </c>
      <c r="C64" s="26" t="inlineStr">
        <is>
          <t>Juros</t>
        </is>
      </c>
      <c r="D64" s="27" t="inlineStr">
        <is>
          <t>Selic acumulada no mês anualizada</t>
        </is>
      </c>
      <c r="E64" s="26" t="inlineStr">
        <is>
          <t>BCB SGS</t>
        </is>
      </c>
      <c r="F64" s="26" t="inlineStr">
        <is>
          <t>4189</t>
        </is>
      </c>
      <c r="G64" s="26" t="inlineStr">
        <is>
          <t>Mensal</t>
        </is>
      </c>
      <c r="H64" s="26" t="inlineStr">
        <is>
          <t>% a.a.</t>
        </is>
      </c>
      <c r="I64" s="26" t="inlineStr">
        <is>
          <t>Taxa</t>
        </is>
      </c>
      <c r="J64" s="26" t="inlineStr">
        <is>
          <t>Nível, Δ p.p. (MoM, YoY, 3/6/12m)</t>
        </is>
      </c>
      <c r="K64" s="26" t="inlineStr">
        <is>
          <t>MVP</t>
        </is>
      </c>
      <c r="L64" s="26" t="inlineStr">
        <is>
          <t>Verificado</t>
        </is>
      </c>
      <c r="M64" s="26" t="inlineStr">
        <is>
          <t>Respondeu 13,83 em 09/2026</t>
        </is>
      </c>
    </row>
    <row r="65">
      <c r="A65" s="25" t="inlineStr">
        <is>
          <t>BR-054</t>
        </is>
      </c>
      <c r="B65" s="26" t="inlineStr">
        <is>
          <t>Política Monetária</t>
        </is>
      </c>
      <c r="C65" s="26" t="inlineStr">
        <is>
          <t>Juros</t>
        </is>
      </c>
      <c r="D65" s="27" t="inlineStr">
        <is>
          <t>CDI anualizado base 252</t>
        </is>
      </c>
      <c r="E65" s="26" t="inlineStr">
        <is>
          <t>BCB SGS</t>
        </is>
      </c>
      <c r="F65" s="26" t="inlineStr">
        <is>
          <t>4389</t>
        </is>
      </c>
      <c r="G65" s="26" t="inlineStr">
        <is>
          <t>Diária</t>
        </is>
      </c>
      <c r="H65" s="26" t="inlineStr">
        <is>
          <t>% a.a.</t>
        </is>
      </c>
      <c r="I65" s="26" t="inlineStr">
        <is>
          <t>Taxa</t>
        </is>
      </c>
      <c r="J65" s="26" t="inlineStr">
        <is>
          <t>Nível, Δ p.p. (MoM, YoY, 3/6/12m)</t>
        </is>
      </c>
      <c r="K65" s="26" t="inlineStr">
        <is>
          <t>v2</t>
        </is>
      </c>
      <c r="L65" s="26" t="inlineStr">
        <is>
          <t>Confirmar</t>
        </is>
      </c>
      <c r="M65" s="26" t="inlineStr"/>
    </row>
    <row r="66">
      <c r="A66" s="25" t="inlineStr">
        <is>
          <t>BR-055</t>
        </is>
      </c>
      <c r="B66" s="26" t="inlineStr">
        <is>
          <t>Política Monetária</t>
        </is>
      </c>
      <c r="C66" s="26" t="inlineStr">
        <is>
          <t>Juros</t>
        </is>
      </c>
      <c r="D66" s="27" t="inlineStr">
        <is>
          <t>Juro real ex-ante (proxy)</t>
        </is>
      </c>
      <c r="E66" s="26" t="inlineStr">
        <is>
          <t>Argus</t>
        </is>
      </c>
      <c r="F66" s="26" t="inlineStr">
        <is>
          <t>f(432, Focus IPCA 12m)</t>
        </is>
      </c>
      <c r="G66" s="26" t="inlineStr">
        <is>
          <t>Diária</t>
        </is>
      </c>
      <c r="H66" s="26" t="inlineStr">
        <is>
          <t>% a.a.</t>
        </is>
      </c>
      <c r="I66" s="26" t="inlineStr">
        <is>
          <t>Derivado</t>
        </is>
      </c>
      <c r="J66" s="26" t="inlineStr">
        <is>
          <t>Conforme definição da fórmula</t>
        </is>
      </c>
      <c r="K66" s="26" t="inlineStr">
        <is>
          <t>MVP</t>
        </is>
      </c>
      <c r="L66" s="26" t="inlineStr">
        <is>
          <t>Derivado</t>
        </is>
      </c>
      <c r="M66" s="26" t="inlineStr">
        <is>
          <t>v2: trocar por swap DI 360 deflacionado</t>
        </is>
      </c>
    </row>
    <row r="67">
      <c r="A67" s="25" t="inlineStr">
        <is>
          <t>BR-056</t>
        </is>
      </c>
      <c r="B67" s="26" t="inlineStr">
        <is>
          <t>Política Monetária</t>
        </is>
      </c>
      <c r="C67" s="26" t="inlineStr">
        <is>
          <t>Expectativas</t>
        </is>
      </c>
      <c r="D67" s="27" t="inlineStr">
        <is>
          <t>Focus — Selic por reunião do Copom</t>
        </is>
      </c>
      <c r="E67" s="26" t="inlineStr">
        <is>
          <t>BCB Olinda (Focus)</t>
        </is>
      </c>
      <c r="F67" s="26" t="inlineStr">
        <is>
          <t>ExpectativasMercadoSelic</t>
        </is>
      </c>
      <c r="G67" s="26" t="inlineStr">
        <is>
          <t>Semanal</t>
        </is>
      </c>
      <c r="H67" s="26" t="inlineStr">
        <is>
          <t>% a.a.</t>
        </is>
      </c>
      <c r="I67" s="26" t="inlineStr">
        <is>
          <t>Taxa</t>
        </is>
      </c>
      <c r="J67" s="26" t="inlineStr">
        <is>
          <t>Nível, Δ p.p. (MoM, YoY, 3/6/12m)</t>
        </is>
      </c>
      <c r="K67" s="26" t="inlineStr">
        <is>
          <t>MVP</t>
        </is>
      </c>
      <c r="L67" s="26" t="inlineStr">
        <is>
          <t>Verificado</t>
        </is>
      </c>
      <c r="M67" s="26" t="inlineStr">
        <is>
          <t>Equivalente ao WIRP/dotplot</t>
        </is>
      </c>
    </row>
    <row r="68">
      <c r="A68" s="25" t="inlineStr">
        <is>
          <t>BR-057</t>
        </is>
      </c>
      <c r="B68" s="26" t="inlineStr">
        <is>
          <t>Política Monetária</t>
        </is>
      </c>
      <c r="C68" s="26" t="inlineStr">
        <is>
          <t>Copom</t>
        </is>
      </c>
      <c r="D68" s="27" t="inlineStr">
        <is>
          <t>Histórico de decisões (data, decisão, bps, unanimidade)</t>
        </is>
      </c>
      <c r="E68" s="26" t="inlineStr">
        <is>
          <t>BCB + SGS 432</t>
        </is>
      </c>
      <c r="F68" s="26" t="inlineStr">
        <is>
          <t>Curado</t>
        </is>
      </c>
      <c r="G68" s="26" t="inlineStr">
        <is>
          <t>Por reunião</t>
        </is>
      </c>
      <c r="H68" s="26" t="inlineStr">
        <is>
          <t>bps</t>
        </is>
      </c>
      <c r="I68" s="26" t="inlineStr">
        <is>
          <t>Evento</t>
        </is>
      </c>
      <c r="J68" s="26" t="inlineStr">
        <is>
          <t>—</t>
        </is>
      </c>
      <c r="K68" s="26" t="inlineStr">
        <is>
          <t>MVP</t>
        </is>
      </c>
      <c r="L68" s="26" t="inlineStr">
        <is>
          <t>Curado</t>
        </is>
      </c>
      <c r="M68" s="26" t="inlineStr">
        <is>
          <t>Dataset próprio, conferido contra o SGS</t>
        </is>
      </c>
    </row>
    <row r="69">
      <c r="A69" s="25" t="inlineStr">
        <is>
          <t>BR-058</t>
        </is>
      </c>
      <c r="B69" s="26" t="inlineStr">
        <is>
          <t>Política Monetária</t>
        </is>
      </c>
      <c r="C69" s="26" t="inlineStr">
        <is>
          <t>Copom</t>
        </is>
      </c>
      <c r="D69" s="27" t="inlineStr">
        <is>
          <t>Comunicados e atas (texto)</t>
        </is>
      </c>
      <c r="E69" s="26" t="inlineStr">
        <is>
          <t>BCB site (API Copom)</t>
        </is>
      </c>
      <c r="F69" s="26" t="inlineStr">
        <is>
          <t>comunicados ; atas</t>
        </is>
      </c>
      <c r="G69" s="26" t="inlineStr">
        <is>
          <t>Por reunião</t>
        </is>
      </c>
      <c r="H69" s="26" t="inlineStr">
        <is>
          <t>Texto</t>
        </is>
      </c>
      <c r="I69" s="26" t="inlineStr">
        <is>
          <t>Texto</t>
        </is>
      </c>
      <c r="J69" s="26" t="inlineStr">
        <is>
          <t>—</t>
        </is>
      </c>
      <c r="K69" s="26" t="inlineStr">
        <is>
          <t>MVP</t>
        </is>
      </c>
      <c r="L69" s="26" t="inlineStr">
        <is>
          <t>Verificado</t>
        </is>
      </c>
      <c r="M69" s="26" t="inlineStr">
        <is>
          <t>API do site do BCB, não documentada (copom/comunicados, copom/atas e *_detalhes); texto convertido para texto puro na tabela events; comunicados desde a 46ª reunião (2000)</t>
        </is>
      </c>
    </row>
    <row r="70">
      <c r="A70" s="25" t="inlineStr">
        <is>
          <t>BR-059</t>
        </is>
      </c>
      <c r="B70" s="26" t="inlineStr">
        <is>
          <t>Política Monetária</t>
        </is>
      </c>
      <c r="C70" s="26" t="inlineStr">
        <is>
          <t>Agregados</t>
        </is>
      </c>
      <c r="D70" s="27" t="inlineStr">
        <is>
          <t>M1 (saldo fim de período, SA)</t>
        </is>
      </c>
      <c r="E70" s="26" t="inlineStr">
        <is>
          <t>BCB SGS</t>
        </is>
      </c>
      <c r="F70" s="26" t="inlineStr">
        <is>
          <t>27841</t>
        </is>
      </c>
      <c r="G70" s="26" t="inlineStr">
        <is>
          <t>Mensal</t>
        </is>
      </c>
      <c r="H70" s="26" t="inlineStr">
        <is>
          <t>R$ mil</t>
        </is>
      </c>
      <c r="I70" s="26" t="inlineStr">
        <is>
          <t>Estoque</t>
        </is>
      </c>
      <c r="J70" s="26" t="inlineStr">
        <is>
          <t>Nível, MoM %, YoY %, real/nominal, % PIB</t>
        </is>
      </c>
      <c r="K70" s="26" t="inlineStr">
        <is>
          <t>MVP</t>
        </is>
      </c>
      <c r="L70" s="26" t="inlineStr">
        <is>
          <t>Verificado</t>
        </is>
      </c>
      <c r="M70" s="26" t="inlineStr">
        <is>
          <t>Sem ajuste: 27791</t>
        </is>
      </c>
    </row>
    <row r="71">
      <c r="A71" s="25" t="inlineStr">
        <is>
          <t>BR-060</t>
        </is>
      </c>
      <c r="B71" s="26" t="inlineStr">
        <is>
          <t>Política Monetária</t>
        </is>
      </c>
      <c r="C71" s="26" t="inlineStr">
        <is>
          <t>Agregados</t>
        </is>
      </c>
      <c r="D71" s="27" t="inlineStr">
        <is>
          <t>M2 (saldo fim de período, SA)</t>
        </is>
      </c>
      <c r="E71" s="26" t="inlineStr">
        <is>
          <t>BCB SGS</t>
        </is>
      </c>
      <c r="F71" s="26" t="inlineStr">
        <is>
          <t>27842</t>
        </is>
      </c>
      <c r="G71" s="26" t="inlineStr">
        <is>
          <t>Mensal</t>
        </is>
      </c>
      <c r="H71" s="26" t="inlineStr">
        <is>
          <t>R$ mil</t>
        </is>
      </c>
      <c r="I71" s="26" t="inlineStr">
        <is>
          <t>Estoque</t>
        </is>
      </c>
      <c r="J71" s="26" t="inlineStr">
        <is>
          <t>Nível, MoM %, YoY %, real/nominal, % PIB</t>
        </is>
      </c>
      <c r="K71" s="26" t="inlineStr">
        <is>
          <t>MVP</t>
        </is>
      </c>
      <c r="L71" s="26" t="inlineStr">
        <is>
          <t>Verificado</t>
        </is>
      </c>
      <c r="M71" s="26" t="inlineStr">
        <is>
          <t>Sem ajuste: 27810</t>
        </is>
      </c>
    </row>
    <row r="72">
      <c r="A72" s="25" t="inlineStr">
        <is>
          <t>BR-061</t>
        </is>
      </c>
      <c r="B72" s="26" t="inlineStr">
        <is>
          <t>Política Monetária</t>
        </is>
      </c>
      <c r="C72" s="26" t="inlineStr">
        <is>
          <t>Agregados</t>
        </is>
      </c>
      <c r="D72" s="27" t="inlineStr">
        <is>
          <t>M3 e M4 (saldo fim de período)</t>
        </is>
      </c>
      <c r="E72" s="26" t="inlineStr">
        <is>
          <t>BCB SGS</t>
        </is>
      </c>
      <c r="F72" s="26" t="inlineStr">
        <is>
          <t>27813 / 27815</t>
        </is>
      </c>
      <c r="G72" s="26" t="inlineStr">
        <is>
          <t>Mensal</t>
        </is>
      </c>
      <c r="H72" s="26" t="inlineStr">
        <is>
          <t>R$ mil</t>
        </is>
      </c>
      <c r="I72" s="26" t="inlineStr">
        <is>
          <t>Estoque</t>
        </is>
      </c>
      <c r="J72" s="26" t="inlineStr">
        <is>
          <t>Nível, MoM %, YoY %, real/nominal, % PIB</t>
        </is>
      </c>
      <c r="K72" s="26" t="inlineStr">
        <is>
          <t>MVP</t>
        </is>
      </c>
      <c r="L72" s="26" t="inlineStr">
        <is>
          <t>Verificado</t>
        </is>
      </c>
      <c r="M72" s="26" t="inlineStr"/>
    </row>
    <row r="73">
      <c r="A73" s="25" t="inlineStr">
        <is>
          <t>BR-062</t>
        </is>
      </c>
      <c r="B73" s="26" t="inlineStr">
        <is>
          <t>Política Monetária</t>
        </is>
      </c>
      <c r="C73" s="26" t="inlineStr">
        <is>
          <t>Crédito</t>
        </is>
      </c>
      <c r="D73" s="27" t="inlineStr">
        <is>
          <t>Saldo de crédito total, PF e PJ</t>
        </is>
      </c>
      <c r="E73" s="26" t="inlineStr">
        <is>
          <t>BCB SGS</t>
        </is>
      </c>
      <c r="F73" s="26" t="inlineStr">
        <is>
          <t>20539 / 20541 / 20540</t>
        </is>
      </c>
      <c r="G73" s="26" t="inlineStr">
        <is>
          <t>Mensal</t>
        </is>
      </c>
      <c r="H73" s="26" t="inlineStr">
        <is>
          <t>R$ mi</t>
        </is>
      </c>
      <c r="I73" s="26" t="inlineStr">
        <is>
          <t>Estoque</t>
        </is>
      </c>
      <c r="J73" s="26" t="inlineStr">
        <is>
          <t>Nível, MoM %, YoY %, real/nominal, % PIB</t>
        </is>
      </c>
      <c r="K73" s="26" t="inlineStr">
        <is>
          <t>MVP</t>
        </is>
      </c>
      <c r="L73" s="26" t="inlineStr">
        <is>
          <t>Verificado</t>
        </is>
      </c>
      <c r="M73" s="26" t="inlineStr"/>
    </row>
    <row r="74">
      <c r="A74" s="25" t="inlineStr">
        <is>
          <t>BR-063</t>
        </is>
      </c>
      <c r="B74" s="26" t="inlineStr">
        <is>
          <t>Política Monetária</t>
        </is>
      </c>
      <c r="C74" s="26" t="inlineStr">
        <is>
          <t>Crédito</t>
        </is>
      </c>
      <c r="D74" s="27" t="inlineStr">
        <is>
          <t>Saldo livre × direcionado</t>
        </is>
      </c>
      <c r="E74" s="26" t="inlineStr">
        <is>
          <t>BCB SGS</t>
        </is>
      </c>
      <c r="F74" s="26" t="inlineStr">
        <is>
          <t>20542 / 20593</t>
        </is>
      </c>
      <c r="G74" s="26" t="inlineStr">
        <is>
          <t>Mensal</t>
        </is>
      </c>
      <c r="H74" s="26" t="inlineStr">
        <is>
          <t>R$ mi</t>
        </is>
      </c>
      <c r="I74" s="26" t="inlineStr">
        <is>
          <t>Estoque</t>
        </is>
      </c>
      <c r="J74" s="26" t="inlineStr">
        <is>
          <t>Nível, MoM %, YoY %, real/nominal, % PIB</t>
        </is>
      </c>
      <c r="K74" s="26" t="inlineStr">
        <is>
          <t>MVP</t>
        </is>
      </c>
      <c r="L74" s="26" t="inlineStr">
        <is>
          <t>Verificado</t>
        </is>
      </c>
      <c r="M74" s="26" t="inlineStr">
        <is>
          <t>Transmissão da Selic ocorre no livre</t>
        </is>
      </c>
    </row>
    <row r="75">
      <c r="A75" s="25" t="inlineStr">
        <is>
          <t>BR-064</t>
        </is>
      </c>
      <c r="B75" s="26" t="inlineStr">
        <is>
          <t>Política Monetária</t>
        </is>
      </c>
      <c r="C75" s="26" t="inlineStr">
        <is>
          <t>Crédito</t>
        </is>
      </c>
      <c r="D75" s="27" t="inlineStr">
        <is>
          <t>Concessões total, PF e PJ</t>
        </is>
      </c>
      <c r="E75" s="26" t="inlineStr">
        <is>
          <t>BCB SGS</t>
        </is>
      </c>
      <c r="F75" s="26" t="inlineStr">
        <is>
          <t>20631 / 20633 / 20632</t>
        </is>
      </c>
      <c r="G75" s="26" t="inlineStr">
        <is>
          <t>Mensal</t>
        </is>
      </c>
      <c r="H75" s="26" t="inlineStr">
        <is>
          <t>R$ mi</t>
        </is>
      </c>
      <c r="I75" s="26" t="inlineStr">
        <is>
          <t>Fluxo</t>
        </is>
      </c>
      <c r="J75" s="26" t="inlineStr">
        <is>
          <t>Nível, soma 3/12m, MoM % (SA), YoY %, real/nominal, % PIB</t>
        </is>
      </c>
      <c r="K75" s="26" t="inlineStr">
        <is>
          <t>MVP</t>
        </is>
      </c>
      <c r="L75" s="26" t="inlineStr">
        <is>
          <t>Verificado</t>
        </is>
      </c>
      <c r="M75" s="26" t="inlineStr"/>
    </row>
    <row r="76">
      <c r="A76" s="25" t="inlineStr">
        <is>
          <t>BR-065</t>
        </is>
      </c>
      <c r="B76" s="26" t="inlineStr">
        <is>
          <t>Política Monetária</t>
        </is>
      </c>
      <c r="C76" s="26" t="inlineStr">
        <is>
          <t>Crédito</t>
        </is>
      </c>
      <c r="D76" s="27" t="inlineStr">
        <is>
          <t>Taxa média de juros total, PF e PJ</t>
        </is>
      </c>
      <c r="E76" s="26" t="inlineStr">
        <is>
          <t>BCB SGS</t>
        </is>
      </c>
      <c r="F76" s="26" t="inlineStr">
        <is>
          <t>20714 / 20716 / 20715</t>
        </is>
      </c>
      <c r="G76" s="26" t="inlineStr">
        <is>
          <t>Mensal</t>
        </is>
      </c>
      <c r="H76" s="26" t="inlineStr">
        <is>
          <t>% a.a.</t>
        </is>
      </c>
      <c r="I76" s="26" t="inlineStr">
        <is>
          <t>Taxa</t>
        </is>
      </c>
      <c r="J76" s="26" t="inlineStr">
        <is>
          <t>Nível, Δ p.p. (MoM, YoY, 3/6/12m)</t>
        </is>
      </c>
      <c r="K76" s="26" t="inlineStr">
        <is>
          <t>MVP</t>
        </is>
      </c>
      <c r="L76" s="26" t="inlineStr">
        <is>
          <t>Verificado</t>
        </is>
      </c>
      <c r="M76" s="26" t="inlineStr"/>
    </row>
    <row r="77">
      <c r="A77" s="25" t="inlineStr">
        <is>
          <t>BR-066</t>
        </is>
      </c>
      <c r="B77" s="26" t="inlineStr">
        <is>
          <t>Política Monetária</t>
        </is>
      </c>
      <c r="C77" s="26" t="inlineStr">
        <is>
          <t>Crédito</t>
        </is>
      </c>
      <c r="D77" s="27" t="inlineStr">
        <is>
          <t>Spread médio total</t>
        </is>
      </c>
      <c r="E77" s="26" t="inlineStr">
        <is>
          <t>BCB SGS</t>
        </is>
      </c>
      <c r="F77" s="26" t="inlineStr">
        <is>
          <t>20783</t>
        </is>
      </c>
      <c r="G77" s="26" t="inlineStr">
        <is>
          <t>Mensal</t>
        </is>
      </c>
      <c r="H77" s="26" t="inlineStr">
        <is>
          <t>p.p.</t>
        </is>
      </c>
      <c r="I77" s="26" t="inlineStr">
        <is>
          <t>Taxa</t>
        </is>
      </c>
      <c r="J77" s="26" t="inlineStr">
        <is>
          <t>Nível, Δ p.p. (MoM, YoY, 3/6/12m)</t>
        </is>
      </c>
      <c r="K77" s="26" t="inlineStr">
        <is>
          <t>MVP</t>
        </is>
      </c>
      <c r="L77" s="26" t="inlineStr">
        <is>
          <t>Verificado</t>
        </is>
      </c>
      <c r="M77" s="26" t="inlineStr"/>
    </row>
    <row r="78">
      <c r="A78" s="25" t="inlineStr">
        <is>
          <t>BR-067</t>
        </is>
      </c>
      <c r="B78" s="26" t="inlineStr">
        <is>
          <t>Política Monetária</t>
        </is>
      </c>
      <c r="C78" s="26" t="inlineStr">
        <is>
          <t>Crédito</t>
        </is>
      </c>
      <c r="D78" s="27" t="inlineStr">
        <is>
          <t>Indicador de custo do crédito (ICC)</t>
        </is>
      </c>
      <c r="E78" s="26" t="inlineStr">
        <is>
          <t>BCB SGS</t>
        </is>
      </c>
      <c r="F78" s="26" t="inlineStr">
        <is>
          <t>25351</t>
        </is>
      </c>
      <c r="G78" s="26" t="inlineStr">
        <is>
          <t>Mensal</t>
        </is>
      </c>
      <c r="H78" s="26" t="inlineStr">
        <is>
          <t>% a.a.</t>
        </is>
      </c>
      <c r="I78" s="26" t="inlineStr">
        <is>
          <t>Taxa</t>
        </is>
      </c>
      <c r="J78" s="26" t="inlineStr">
        <is>
          <t>Nível, Δ p.p. (MoM, YoY, 3/6/12m)</t>
        </is>
      </c>
      <c r="K78" s="26" t="inlineStr">
        <is>
          <t>v2</t>
        </is>
      </c>
      <c r="L78" s="26" t="inlineStr">
        <is>
          <t>Confirmar</t>
        </is>
      </c>
      <c r="M78" s="26" t="inlineStr"/>
    </row>
    <row r="79">
      <c r="A79" s="25" t="inlineStr">
        <is>
          <t>BR-068</t>
        </is>
      </c>
      <c r="B79" s="26" t="inlineStr">
        <is>
          <t>Política Monetária</t>
        </is>
      </c>
      <c r="C79" s="26" t="inlineStr">
        <is>
          <t>Condições</t>
        </is>
      </c>
      <c r="D79" s="27" t="inlineStr">
        <is>
          <t>Índice de condições financeiras BR</t>
        </is>
      </c>
      <c r="E79" s="26" t="inlineStr">
        <is>
          <t>Argus</t>
        </is>
      </c>
      <c r="F79" s="26" t="inlineStr">
        <is>
          <t>f(juros, câmbio, bolsa, spread)</t>
        </is>
      </c>
      <c r="G79" s="26" t="inlineStr">
        <is>
          <t>Diária</t>
        </is>
      </c>
      <c r="H79" s="26" t="inlineStr">
        <is>
          <t>Índice</t>
        </is>
      </c>
      <c r="I79" s="26" t="inlineStr">
        <is>
          <t>Derivado</t>
        </is>
      </c>
      <c r="J79" s="26" t="inlineStr">
        <is>
          <t>Conforme definição da fórmula</t>
        </is>
      </c>
      <c r="K79" s="26" t="inlineStr">
        <is>
          <t>v2</t>
        </is>
      </c>
      <c r="L79" s="26" t="inlineStr">
        <is>
          <t>Derivado</t>
        </is>
      </c>
      <c r="M79" s="26" t="inlineStr">
        <is>
          <t>Equivalente ao NFCI</t>
        </is>
      </c>
    </row>
    <row r="80">
      <c r="A80" s="25" t="inlineStr">
        <is>
          <t>BR-069</t>
        </is>
      </c>
      <c r="B80" s="26" t="inlineStr">
        <is>
          <t>Fiscal</t>
        </is>
      </c>
      <c r="C80" s="26" t="inlineStr">
        <is>
          <t>Resultado</t>
        </is>
      </c>
      <c r="D80" s="27" t="inlineStr">
        <is>
          <t>Resultado primário do setor público consolidado — 12m % PIB</t>
        </is>
      </c>
      <c r="E80" s="26" t="inlineStr">
        <is>
          <t>BCB SGS</t>
        </is>
      </c>
      <c r="F80" s="26" t="inlineStr">
        <is>
          <t>5793</t>
        </is>
      </c>
      <c r="G80" s="26" t="inlineStr">
        <is>
          <t>Mensal</t>
        </is>
      </c>
      <c r="H80" s="26" t="inlineStr">
        <is>
          <t>% PIB</t>
        </is>
      </c>
      <c r="I80" s="26" t="inlineStr">
        <is>
          <t>Taxa</t>
        </is>
      </c>
      <c r="J80" s="26" t="inlineStr">
        <is>
          <t>Nível, Δ p.p. (MoM, YoY, 3/6/12m)</t>
        </is>
      </c>
      <c r="K80" s="26" t="inlineStr">
        <is>
          <t>MVP</t>
        </is>
      </c>
      <c r="L80" s="26" t="inlineStr">
        <is>
          <t>Verificado</t>
        </is>
      </c>
      <c r="M80" s="26" t="inlineStr"/>
    </row>
    <row r="81">
      <c r="A81" s="25" t="inlineStr">
        <is>
          <t>BR-070</t>
        </is>
      </c>
      <c r="B81" s="26" t="inlineStr">
        <is>
          <t>Fiscal</t>
        </is>
      </c>
      <c r="C81" s="26" t="inlineStr">
        <is>
          <t>Resultado</t>
        </is>
      </c>
      <c r="D81" s="27" t="inlineStr">
        <is>
          <t>Resultado nominal e juros nominais — 12m % PIB</t>
        </is>
      </c>
      <c r="E81" s="26" t="inlineStr">
        <is>
          <t>BCB SGS</t>
        </is>
      </c>
      <c r="F81" s="26" t="inlineStr">
        <is>
          <t>5727 / 5760</t>
        </is>
      </c>
      <c r="G81" s="26" t="inlineStr">
        <is>
          <t>Mensal</t>
        </is>
      </c>
      <c r="H81" s="26" t="inlineStr">
        <is>
          <t>% PIB</t>
        </is>
      </c>
      <c r="I81" s="26" t="inlineStr">
        <is>
          <t>Taxa</t>
        </is>
      </c>
      <c r="J81" s="26" t="inlineStr">
        <is>
          <t>Nível, Δ p.p. (MoM, YoY, 3/6/12m)</t>
        </is>
      </c>
      <c r="K81" s="26" t="inlineStr">
        <is>
          <t>MVP</t>
        </is>
      </c>
      <c r="L81" s="26" t="inlineStr">
        <is>
          <t>Verificado</t>
        </is>
      </c>
      <c r="M81" s="26" t="inlineStr">
        <is>
          <t>5727 resultado nominal, 5760 juros nominais; NFSP sem desvalorização cambial, 12m % PIB</t>
        </is>
      </c>
    </row>
    <row r="82">
      <c r="A82" s="25" t="inlineStr">
        <is>
          <t>BR-071</t>
        </is>
      </c>
      <c r="B82" s="26" t="inlineStr">
        <is>
          <t>Fiscal</t>
        </is>
      </c>
      <c r="C82" s="26" t="inlineStr">
        <is>
          <t>Resultado</t>
        </is>
      </c>
      <c r="D82" s="27" t="inlineStr">
        <is>
          <t>Primário por esfera (Gov. Central, regionais, estatais)</t>
        </is>
      </c>
      <c r="E82" s="26" t="inlineStr">
        <is>
          <t>BCB SGS</t>
        </is>
      </c>
      <c r="F82" s="26" t="inlineStr">
        <is>
          <t>5783 / 5789</t>
        </is>
      </c>
      <c r="G82" s="26" t="inlineStr">
        <is>
          <t>Mensal</t>
        </is>
      </c>
      <c r="H82" s="26" t="inlineStr">
        <is>
          <t>% PIB</t>
        </is>
      </c>
      <c r="I82" s="26" t="inlineStr">
        <is>
          <t>Taxa</t>
        </is>
      </c>
      <c r="J82" s="26" t="inlineStr">
        <is>
          <t>Nível, Δ p.p. (MoM, YoY, 3/6/12m)</t>
        </is>
      </c>
      <c r="K82" s="26" t="inlineStr">
        <is>
          <t>MVP</t>
        </is>
      </c>
      <c r="L82" s="26" t="inlineStr">
        <is>
          <t>Verificado</t>
        </is>
      </c>
      <c r="M82" s="26" t="inlineStr">
        <is>
          <t>5783 Governo Federal e BC, 5789 estatais (12m % PIB); governos regionais: código a localizar</t>
        </is>
      </c>
    </row>
    <row r="83">
      <c r="A83" s="25" t="inlineStr">
        <is>
          <t>BR-072</t>
        </is>
      </c>
      <c r="B83" s="26" t="inlineStr">
        <is>
          <t>Fiscal</t>
        </is>
      </c>
      <c r="C83" s="26" t="inlineStr">
        <is>
          <t>Dívida</t>
        </is>
      </c>
      <c r="D83" s="27" t="inlineStr">
        <is>
          <t>Dívida bruta do governo geral (DBGG) % PIB</t>
        </is>
      </c>
      <c r="E83" s="26" t="inlineStr">
        <is>
          <t>BCB SGS</t>
        </is>
      </c>
      <c r="F83" s="26" t="inlineStr">
        <is>
          <t>13762</t>
        </is>
      </c>
      <c r="G83" s="26" t="inlineStr">
        <is>
          <t>Mensal</t>
        </is>
      </c>
      <c r="H83" s="26" t="inlineStr">
        <is>
          <t>% PIB</t>
        </is>
      </c>
      <c r="I83" s="26" t="inlineStr">
        <is>
          <t>Taxa</t>
        </is>
      </c>
      <c r="J83" s="26" t="inlineStr">
        <is>
          <t>Nível, Δ p.p. (MoM, YoY, 3/6/12m)</t>
        </is>
      </c>
      <c r="K83" s="26" t="inlineStr">
        <is>
          <t>MVP</t>
        </is>
      </c>
      <c r="L83" s="26" t="inlineStr">
        <is>
          <t>Verificado</t>
        </is>
      </c>
      <c r="M83" s="26" t="inlineStr"/>
    </row>
    <row r="84">
      <c r="A84" s="25" t="inlineStr">
        <is>
          <t>BR-073</t>
        </is>
      </c>
      <c r="B84" s="26" t="inlineStr">
        <is>
          <t>Fiscal</t>
        </is>
      </c>
      <c r="C84" s="26" t="inlineStr">
        <is>
          <t>Dívida</t>
        </is>
      </c>
      <c r="D84" s="27" t="inlineStr">
        <is>
          <t>Dívida líquida do setor público (DLSP) % PIB</t>
        </is>
      </c>
      <c r="E84" s="26" t="inlineStr">
        <is>
          <t>BCB SGS</t>
        </is>
      </c>
      <c r="F84" s="26" t="inlineStr">
        <is>
          <t>4513</t>
        </is>
      </c>
      <c r="G84" s="26" t="inlineStr">
        <is>
          <t>Mensal</t>
        </is>
      </c>
      <c r="H84" s="26" t="inlineStr">
        <is>
          <t>% PIB</t>
        </is>
      </c>
      <c r="I84" s="26" t="inlineStr">
        <is>
          <t>Taxa</t>
        </is>
      </c>
      <c r="J84" s="26" t="inlineStr">
        <is>
          <t>Nível, Δ p.p. (MoM, YoY, 3/6/12m)</t>
        </is>
      </c>
      <c r="K84" s="26" t="inlineStr">
        <is>
          <t>MVP</t>
        </is>
      </c>
      <c r="L84" s="26" t="inlineStr">
        <is>
          <t>Verificado</t>
        </is>
      </c>
      <c r="M84" s="26" t="inlineStr"/>
    </row>
    <row r="85">
      <c r="A85" s="25" t="inlineStr">
        <is>
          <t>BR-074</t>
        </is>
      </c>
      <c r="B85" s="26" t="inlineStr">
        <is>
          <t>Fiscal</t>
        </is>
      </c>
      <c r="C85" s="26" t="inlineStr">
        <is>
          <t>Gov. Central</t>
        </is>
      </c>
      <c r="D85" s="27" t="inlineStr">
        <is>
          <t>Receitas e despesas do Governo Central (RTN)</t>
        </is>
      </c>
      <c r="E85" s="26" t="inlineStr">
        <is>
          <t>Tesouro Nacional (API RTN)</t>
        </is>
      </c>
      <c r="F85" s="26" t="inlineStr">
        <is>
          <t>rtn=10.01.1 ; rtn=10.02.1 ; rtn=10.01.2 ; rtn=10.03.1 ; rtn=10.04.1 ; rtn=10.08.1 ; rtn=10.09.1</t>
        </is>
      </c>
      <c r="G85" s="26" t="inlineStr">
        <is>
          <t>Mensal</t>
        </is>
      </c>
      <c r="H85" s="26" t="inlineStr">
        <is>
          <t>R$ mi</t>
        </is>
      </c>
      <c r="I85" s="26" t="inlineStr">
        <is>
          <t>Fluxo</t>
        </is>
      </c>
      <c r="J85" s="26" t="inlineStr">
        <is>
          <t>Nível, soma 3/12m, MoM % (SA), YoY %, real/nominal, % PIB</t>
        </is>
      </c>
      <c r="K85" s="26" t="inlineStr">
        <is>
          <t>MVP</t>
        </is>
      </c>
      <c r="L85" s="26" t="inlineStr">
        <is>
          <t>Verificado</t>
        </is>
      </c>
      <c r="M85" s="26" t="inlineStr">
        <is>
          <t>API Séries Temporais do RTN (decisão 0010): receita total, transferências, receita líquida, despesa total, primário, juros e nominal; R$ milhões correntes</t>
        </is>
      </c>
    </row>
    <row r="86">
      <c r="A86" s="25" t="inlineStr">
        <is>
          <t>BR-075</t>
        </is>
      </c>
      <c r="B86" s="26" t="inlineStr">
        <is>
          <t>Fiscal</t>
        </is>
      </c>
      <c r="C86" s="26" t="inlineStr">
        <is>
          <t>Gov. Central</t>
        </is>
      </c>
      <c r="D86" s="27" t="inlineStr">
        <is>
          <t>Meta de primário e bandas do arcabouço</t>
        </is>
      </c>
      <c r="E86" s="26" t="inlineStr">
        <is>
          <t>Tesouro / LDO</t>
        </is>
      </c>
      <c r="F86" s="26" t="inlineStr">
        <is>
          <t>Curado</t>
        </is>
      </c>
      <c r="G86" s="26" t="inlineStr">
        <is>
          <t>Anual</t>
        </is>
      </c>
      <c r="H86" s="26" t="inlineStr">
        <is>
          <t>% PIB</t>
        </is>
      </c>
      <c r="I86" s="26" t="inlineStr">
        <is>
          <t>Taxa</t>
        </is>
      </c>
      <c r="J86" s="26" t="inlineStr">
        <is>
          <t>Nível, Δ p.p. (MoM, YoY, 3/6/12m)</t>
        </is>
      </c>
      <c r="K86" s="26" t="inlineStr">
        <is>
          <t>MVP</t>
        </is>
      </c>
      <c r="L86" s="26" t="inlineStr">
        <is>
          <t>Curado</t>
        </is>
      </c>
      <c r="M86" s="26" t="inlineStr"/>
    </row>
    <row r="87">
      <c r="A87" s="25" t="inlineStr">
        <is>
          <t>BR-076</t>
        </is>
      </c>
      <c r="B87" s="26" t="inlineStr">
        <is>
          <t>Fiscal</t>
        </is>
      </c>
      <c r="C87" s="26" t="inlineStr">
        <is>
          <t>Dívida</t>
        </is>
      </c>
      <c r="D87" s="27" t="inlineStr">
        <is>
          <t>Composição e prazo médio da DPF</t>
        </is>
      </c>
      <c r="E87" s="26" t="inlineStr">
        <is>
          <t>Tesouro Transparente</t>
        </is>
      </c>
      <c r="F87" s="26" t="inlineStr">
        <is>
          <t>RMD (xlsx)</t>
        </is>
      </c>
      <c r="G87" s="26" t="inlineStr">
        <is>
          <t>Mensal</t>
        </is>
      </c>
      <c r="H87" s="26" t="inlineStr">
        <is>
          <t>%</t>
        </is>
      </c>
      <c r="I87" s="26" t="inlineStr">
        <is>
          <t>Taxa</t>
        </is>
      </c>
      <c r="J87" s="26" t="inlineStr">
        <is>
          <t>Nível, Δ p.p. (MoM, YoY, 3/6/12m)</t>
        </is>
      </c>
      <c r="K87" s="26" t="inlineStr">
        <is>
          <t>v2</t>
        </is>
      </c>
      <c r="L87" s="26" t="inlineStr">
        <is>
          <t>Confirmar</t>
        </is>
      </c>
      <c r="M87" s="26" t="inlineStr"/>
    </row>
    <row r="88">
      <c r="A88" s="25" t="inlineStr">
        <is>
          <t>BR-077</t>
        </is>
      </c>
      <c r="B88" s="26" t="inlineStr">
        <is>
          <t>Fiscal</t>
        </is>
      </c>
      <c r="C88" s="26" t="inlineStr">
        <is>
          <t>Projeções</t>
        </is>
      </c>
      <c r="D88" s="27" t="inlineStr">
        <is>
          <t>Focus — primário e dívida líquida</t>
        </is>
      </c>
      <c r="E88" s="26" t="inlineStr">
        <is>
          <t>BCB Olinda (Focus)</t>
        </is>
      </c>
      <c r="F88" s="26" t="inlineStr">
        <is>
          <t>ExpectativasMercadoAnuais · Indicador='Resultado primário' ; Indicador='Dívida líquida do setor público'</t>
        </is>
      </c>
      <c r="G88" s="26" t="inlineStr">
        <is>
          <t>Semanal</t>
        </is>
      </c>
      <c r="H88" s="26" t="inlineStr">
        <is>
          <t>% PIB</t>
        </is>
      </c>
      <c r="I88" s="26" t="inlineStr">
        <is>
          <t>Taxa</t>
        </is>
      </c>
      <c r="J88" s="26" t="inlineStr">
        <is>
          <t>Nível, Δ p.p. (MoM, YoY, 3/6/12m)</t>
        </is>
      </c>
      <c r="K88" s="26" t="inlineStr">
        <is>
          <t>MVP</t>
        </is>
      </c>
      <c r="L88" s="26" t="inlineStr">
        <is>
          <t>Verificado</t>
        </is>
      </c>
      <c r="M88" s="26" t="inlineStr"/>
    </row>
    <row r="89">
      <c r="A89" s="25" t="inlineStr">
        <is>
          <t>BR-078</t>
        </is>
      </c>
      <c r="B89" s="26" t="inlineStr">
        <is>
          <t>Fiscal</t>
        </is>
      </c>
      <c r="C89" s="26" t="inlineStr">
        <is>
          <t>Projeções</t>
        </is>
      </c>
      <c r="D89" s="27" t="inlineStr">
        <is>
          <t>Projeções da IFI (cenários)</t>
        </is>
      </c>
      <c r="E89" s="26" t="inlineStr">
        <is>
          <t>IFI / Senado</t>
        </is>
      </c>
      <c r="F89" s="26" t="inlineStr">
        <is>
          <t>Relatórios (manual)</t>
        </is>
      </c>
      <c r="G89" s="26" t="inlineStr">
        <is>
          <t>Mensal</t>
        </is>
      </c>
      <c r="H89" s="26" t="inlineStr">
        <is>
          <t>% PIB</t>
        </is>
      </c>
      <c r="I89" s="26" t="inlineStr">
        <is>
          <t>Taxa</t>
        </is>
      </c>
      <c r="J89" s="26" t="inlineStr">
        <is>
          <t>Nível, Δ p.p. (MoM, YoY, 3/6/12m)</t>
        </is>
      </c>
      <c r="K89" s="26" t="inlineStr">
        <is>
          <t>v2</t>
        </is>
      </c>
      <c r="L89" s="26" t="inlineStr">
        <is>
          <t>Sem API</t>
        </is>
      </c>
      <c r="M89" s="26" t="inlineStr">
        <is>
          <t>Equivalente às projeções do CBO</t>
        </is>
      </c>
    </row>
    <row r="90">
      <c r="A90" s="25" t="inlineStr">
        <is>
          <t>BR-079</t>
        </is>
      </c>
      <c r="B90" s="26" t="inlineStr">
        <is>
          <t>Setor Externo</t>
        </is>
      </c>
      <c r="C90" s="26" t="inlineStr">
        <is>
          <t>Balança</t>
        </is>
      </c>
      <c r="D90" s="27" t="inlineStr">
        <is>
          <t>Exportações, importações e saldo</t>
        </is>
      </c>
      <c r="E90" s="26" t="inlineStr">
        <is>
          <t>ComexStat (MDIC)</t>
        </is>
      </c>
      <c r="F90" s="26" t="inlineStr">
        <is>
          <t>fluxo=export ; fluxo=import</t>
        </is>
      </c>
      <c r="G90" s="26" t="inlineStr">
        <is>
          <t>Mensal</t>
        </is>
      </c>
      <c r="H90" s="26" t="inlineStr">
        <is>
          <t>US$ FOB</t>
        </is>
      </c>
      <c r="I90" s="26" t="inlineStr">
        <is>
          <t>Fluxo</t>
        </is>
      </c>
      <c r="J90" s="26" t="inlineStr">
        <is>
          <t>Nível, soma 3/12m, MoM % (SA), YoY %, real/nominal, % PIB</t>
        </is>
      </c>
      <c r="K90" s="26" t="inlineStr">
        <is>
          <t>MVP</t>
        </is>
      </c>
      <c r="L90" s="26" t="inlineStr">
        <is>
          <t>Verificado</t>
        </is>
      </c>
      <c r="M90" s="26" t="inlineStr">
        <is>
          <t>Dados até 2026-08 (sondagem 2026-10-04). Também semanal</t>
        </is>
      </c>
    </row>
    <row r="91">
      <c r="A91" s="25" t="inlineStr">
        <is>
          <t>BR-080</t>
        </is>
      </c>
      <c r="B91" s="26" t="inlineStr">
        <is>
          <t>Setor Externo</t>
        </is>
      </c>
      <c r="C91" s="26" t="inlineStr">
        <is>
          <t>Balança</t>
        </is>
      </c>
      <c r="D91" s="27" t="inlineStr">
        <is>
          <t>Exportações por destino (China, EUA, UE)</t>
        </is>
      </c>
      <c r="E91" s="26" t="inlineStr">
        <is>
          <t>ComexStat (MDIC)</t>
        </is>
      </c>
      <c r="F91" s="26" t="inlineStr">
        <is>
          <t>fluxo=export/pais=160 ; fluxo=export/pais=249 ; fluxo=export/bloco=22</t>
        </is>
      </c>
      <c r="G91" s="26" t="inlineStr">
        <is>
          <t>Mensal</t>
        </is>
      </c>
      <c r="H91" s="26" t="inlineStr">
        <is>
          <t>US$ FOB</t>
        </is>
      </c>
      <c r="I91" s="26" t="inlineStr">
        <is>
          <t>Fluxo</t>
        </is>
      </c>
      <c r="J91" s="26" t="inlineStr">
        <is>
          <t>Nível, soma 3/12m, MoM % (SA), YoY %, real/nominal, % PIB</t>
        </is>
      </c>
      <c r="K91" s="26" t="inlineStr">
        <is>
          <t>MVP</t>
        </is>
      </c>
      <c r="L91" s="26" t="inlineStr">
        <is>
          <t>Verificado</t>
        </is>
      </c>
      <c r="M91" s="26" t="inlineStr">
        <is>
          <t>Exposição a China e tarifas; Abertura por produto (SH4/NCM) fica para a v2</t>
        </is>
      </c>
    </row>
    <row r="92">
      <c r="A92" s="25" t="inlineStr">
        <is>
          <t>BR-081</t>
        </is>
      </c>
      <c r="B92" s="26" t="inlineStr">
        <is>
          <t>Setor Externo</t>
        </is>
      </c>
      <c r="C92" s="26" t="inlineStr">
        <is>
          <t>BP</t>
        </is>
      </c>
      <c r="D92" s="27" t="inlineStr">
        <is>
          <t>Transações correntes</t>
        </is>
      </c>
      <c r="E92" s="26" t="inlineStr">
        <is>
          <t>BCB SGS</t>
        </is>
      </c>
      <c r="F92" s="26" t="inlineStr">
        <is>
          <t>22701</t>
        </is>
      </c>
      <c r="G92" s="26" t="inlineStr">
        <is>
          <t>Mensal</t>
        </is>
      </c>
      <c r="H92" s="26" t="inlineStr">
        <is>
          <t>US$ mi</t>
        </is>
      </c>
      <c r="I92" s="26" t="inlineStr">
        <is>
          <t>Fluxo</t>
        </is>
      </c>
      <c r="J92" s="26" t="inlineStr">
        <is>
          <t>Nível, soma 3/12m, MoM % (SA), YoY %, real/nominal, % PIB</t>
        </is>
      </c>
      <c r="K92" s="26" t="inlineStr">
        <is>
          <t>MVP</t>
        </is>
      </c>
      <c r="L92" s="26" t="inlineStr">
        <is>
          <t>Verificado</t>
        </is>
      </c>
      <c r="M92" s="26" t="inlineStr"/>
    </row>
    <row r="93">
      <c r="A93" s="25" t="inlineStr">
        <is>
          <t>BR-082</t>
        </is>
      </c>
      <c r="B93" s="26" t="inlineStr">
        <is>
          <t>Setor Externo</t>
        </is>
      </c>
      <c r="C93" s="26" t="inlineStr">
        <is>
          <t>BP</t>
        </is>
      </c>
      <c r="D93" s="27" t="inlineStr">
        <is>
          <t>Transações correntes — 12m % PIB</t>
        </is>
      </c>
      <c r="E93" s="26" t="inlineStr">
        <is>
          <t>BCB SGS</t>
        </is>
      </c>
      <c r="F93" s="26" t="inlineStr">
        <is>
          <t>23079</t>
        </is>
      </c>
      <c r="G93" s="26" t="inlineStr">
        <is>
          <t>Mensal</t>
        </is>
      </c>
      <c r="H93" s="26" t="inlineStr">
        <is>
          <t>% PIB</t>
        </is>
      </c>
      <c r="I93" s="26" t="inlineStr">
        <is>
          <t>Taxa</t>
        </is>
      </c>
      <c r="J93" s="26" t="inlineStr">
        <is>
          <t>Nível, Δ p.p. (MoM, YoY, 3/6/12m)</t>
        </is>
      </c>
      <c r="K93" s="26" t="inlineStr">
        <is>
          <t>MVP</t>
        </is>
      </c>
      <c r="L93" s="26" t="inlineStr">
        <is>
          <t>Verificado</t>
        </is>
      </c>
      <c r="M93" s="26" t="inlineStr">
        <is>
          <t>Transações correntes acumulado em 12 meses em relação ao PIB</t>
        </is>
      </c>
    </row>
    <row r="94">
      <c r="A94" s="25" t="inlineStr">
        <is>
          <t>BR-083</t>
        </is>
      </c>
      <c r="B94" s="26" t="inlineStr">
        <is>
          <t>Setor Externo</t>
        </is>
      </c>
      <c r="C94" s="26" t="inlineStr">
        <is>
          <t>BP</t>
        </is>
      </c>
      <c r="D94" s="27" t="inlineStr">
        <is>
          <t>Investimento direto no país (IDP)</t>
        </is>
      </c>
      <c r="E94" s="26" t="inlineStr">
        <is>
          <t>BCB SGS</t>
        </is>
      </c>
      <c r="F94" s="26" t="inlineStr">
        <is>
          <t>22885</t>
        </is>
      </c>
      <c r="G94" s="26" t="inlineStr">
        <is>
          <t>Mensal</t>
        </is>
      </c>
      <c r="H94" s="26" t="inlineStr">
        <is>
          <t>US$ mi</t>
        </is>
      </c>
      <c r="I94" s="26" t="inlineStr">
        <is>
          <t>Fluxo</t>
        </is>
      </c>
      <c r="J94" s="26" t="inlineStr">
        <is>
          <t>Nível, soma 3/12m, MoM % (SA), YoY %, real/nominal, % PIB</t>
        </is>
      </c>
      <c r="K94" s="26" t="inlineStr">
        <is>
          <t>MVP</t>
        </is>
      </c>
      <c r="L94" s="26" t="inlineStr">
        <is>
          <t>Verificado</t>
        </is>
      </c>
      <c r="M94" s="26" t="inlineStr"/>
    </row>
    <row r="95">
      <c r="A95" s="25" t="inlineStr">
        <is>
          <t>BR-084</t>
        </is>
      </c>
      <c r="B95" s="26" t="inlineStr">
        <is>
          <t>Setor Externo</t>
        </is>
      </c>
      <c r="C95" s="26" t="inlineStr">
        <is>
          <t>Reservas</t>
        </is>
      </c>
      <c r="D95" s="27" t="inlineStr">
        <is>
          <t>Reservas internacionais (conceito caixa, diária)</t>
        </is>
      </c>
      <c r="E95" s="26" t="inlineStr">
        <is>
          <t>BCB SGS</t>
        </is>
      </c>
      <c r="F95" s="26" t="inlineStr">
        <is>
          <t>13621</t>
        </is>
      </c>
      <c r="G95" s="26" t="inlineStr">
        <is>
          <t>Diária</t>
        </is>
      </c>
      <c r="H95" s="26" t="inlineStr">
        <is>
          <t>US$ mi</t>
        </is>
      </c>
      <c r="I95" s="26" t="inlineStr">
        <is>
          <t>Estoque</t>
        </is>
      </c>
      <c r="J95" s="26" t="inlineStr">
        <is>
          <t>Nível, MoM %, YoY %, real/nominal, % PIB</t>
        </is>
      </c>
      <c r="K95" s="26" t="inlineStr">
        <is>
          <t>MVP</t>
        </is>
      </c>
      <c r="L95" s="26" t="inlineStr">
        <is>
          <t>Verificado</t>
        </is>
      </c>
      <c r="M95" s="26" t="inlineStr">
        <is>
          <t>Confirmado no portal BCB</t>
        </is>
      </c>
    </row>
    <row r="96">
      <c r="A96" s="25" t="inlineStr">
        <is>
          <t>BR-085</t>
        </is>
      </c>
      <c r="B96" s="26" t="inlineStr">
        <is>
          <t>Setor Externo</t>
        </is>
      </c>
      <c r="C96" s="26" t="inlineStr">
        <is>
          <t>Câmbio</t>
        </is>
      </c>
      <c r="D96" s="27" t="inlineStr">
        <is>
          <t>Taxa de câmbio livre — dólar americano (venda)</t>
        </is>
      </c>
      <c r="E96" s="26" t="inlineStr">
        <is>
          <t>BCB SGS</t>
        </is>
      </c>
      <c r="F96" s="26" t="inlineStr">
        <is>
          <t>1</t>
        </is>
      </c>
      <c r="G96" s="26" t="inlineStr">
        <is>
          <t>Diária</t>
        </is>
      </c>
      <c r="H96" s="26" t="inlineStr">
        <is>
          <t>R$/US$</t>
        </is>
      </c>
      <c r="I96" s="26" t="inlineStr">
        <is>
          <t>Índice</t>
        </is>
      </c>
      <c r="J96" s="26" t="inlineStr">
        <is>
          <t>Nível, MoM, QoQ, YoY, acum. 3/6/9/12m, 3m/6m SAAR, real/nominal</t>
        </is>
      </c>
      <c r="K96" s="26" t="inlineStr">
        <is>
          <t>MVP</t>
        </is>
      </c>
      <c r="L96" s="26" t="inlineStr">
        <is>
          <t>Verificado</t>
        </is>
      </c>
      <c r="M96" s="26" t="inlineStr">
        <is>
          <t>Título oficial SGS 1: "Taxa de câmbio - Livre - Dólar americano (venda) - diário"</t>
        </is>
      </c>
    </row>
    <row r="97">
      <c r="A97" s="25" t="inlineStr">
        <is>
          <t>BR-086</t>
        </is>
      </c>
      <c r="B97" s="26" t="inlineStr">
        <is>
          <t>Setor Externo</t>
        </is>
      </c>
      <c r="C97" s="26" t="inlineStr">
        <is>
          <t>Câmbio</t>
        </is>
      </c>
      <c r="D97" s="27" t="inlineStr">
        <is>
          <t>Taxa de câmbio efetiva real</t>
        </is>
      </c>
      <c r="E97" s="26" t="inlineStr">
        <is>
          <t>BCB SGS</t>
        </is>
      </c>
      <c r="F97" s="26" t="inlineStr">
        <is>
          <t>11752</t>
        </is>
      </c>
      <c r="G97" s="26" t="inlineStr">
        <is>
          <t>Mensal</t>
        </is>
      </c>
      <c r="H97" s="26" t="inlineStr">
        <is>
          <t>Índice</t>
        </is>
      </c>
      <c r="I97" s="26" t="inlineStr">
        <is>
          <t>Índice</t>
        </is>
      </c>
      <c r="J97" s="26" t="inlineStr">
        <is>
          <t>Nível, MoM, QoQ, YoY, acum. 3/6/9/12m, 3m/6m SAAR, real/nominal</t>
        </is>
      </c>
      <c r="K97" s="26" t="inlineStr">
        <is>
          <t>MVP</t>
        </is>
      </c>
      <c r="L97" s="26" t="inlineStr">
        <is>
          <t>Verificado</t>
        </is>
      </c>
      <c r="M97" s="26" t="inlineStr"/>
    </row>
    <row r="98">
      <c r="A98" s="25" t="inlineStr">
        <is>
          <t>BR-087</t>
        </is>
      </c>
      <c r="B98" s="26" t="inlineStr">
        <is>
          <t>Setor Externo</t>
        </is>
      </c>
      <c r="C98" s="26" t="inlineStr">
        <is>
          <t>Câmbio</t>
        </is>
      </c>
      <c r="D98" s="27" t="inlineStr">
        <is>
          <t>Fluxo cambial (comercial e financeiro)</t>
        </is>
      </c>
      <c r="E98" s="26" t="inlineStr">
        <is>
          <t>BCB SGS</t>
        </is>
      </c>
      <c r="F98" s="26" t="inlineStr">
        <is>
          <t>A mapear</t>
        </is>
      </c>
      <c r="G98" s="26" t="inlineStr">
        <is>
          <t>Semanal</t>
        </is>
      </c>
      <c r="H98" s="26" t="inlineStr">
        <is>
          <t>US$ mi</t>
        </is>
      </c>
      <c r="I98" s="26" t="inlineStr">
        <is>
          <t>Fluxo</t>
        </is>
      </c>
      <c r="J98" s="26" t="inlineStr">
        <is>
          <t>Nível, soma 3/12m, MoM % (SA), YoY %, real/nominal, % PIB</t>
        </is>
      </c>
      <c r="K98" s="26" t="inlineStr">
        <is>
          <t>v2</t>
        </is>
      </c>
      <c r="L98" s="26" t="inlineStr">
        <is>
          <t>A mapear</t>
        </is>
      </c>
      <c r="M98" s="26" t="inlineStr"/>
    </row>
    <row r="99">
      <c r="A99" s="25" t="inlineStr">
        <is>
          <t>BR-088</t>
        </is>
      </c>
      <c r="B99" s="26" t="inlineStr">
        <is>
          <t>Setor Externo</t>
        </is>
      </c>
      <c r="C99" s="26" t="inlineStr">
        <is>
          <t>Câmbio</t>
        </is>
      </c>
      <c r="D99" s="27" t="inlineStr">
        <is>
          <t>Focus — câmbio fim de ano</t>
        </is>
      </c>
      <c r="E99" s="26" t="inlineStr">
        <is>
          <t>BCB Olinda (Focus)</t>
        </is>
      </c>
      <c r="F99" s="26" t="inlineStr">
        <is>
          <t>ExpectativasMercadoAnuais · Indicador='Câmbio'</t>
        </is>
      </c>
      <c r="G99" s="26" t="inlineStr">
        <is>
          <t>Semanal</t>
        </is>
      </c>
      <c r="H99" s="26" t="inlineStr">
        <is>
          <t>R$/US$</t>
        </is>
      </c>
      <c r="I99" s="26" t="inlineStr">
        <is>
          <t>Índice</t>
        </is>
      </c>
      <c r="J99" s="26" t="inlineStr">
        <is>
          <t>Nível, MoM, QoQ, YoY, acum. 3/6/9/12m, 3m/6m SAAR, real/nominal</t>
        </is>
      </c>
      <c r="K99" s="26" t="inlineStr">
        <is>
          <t>MVP</t>
        </is>
      </c>
      <c r="L99" s="26" t="inlineStr">
        <is>
          <t>Verificado</t>
        </is>
      </c>
      <c r="M99" s="26" t="inlineStr"/>
    </row>
    <row r="100">
      <c r="A100" s="25" t="inlineStr">
        <is>
          <t>BR-089</t>
        </is>
      </c>
      <c r="B100" s="26" t="inlineStr">
        <is>
          <t>Setor Externo</t>
        </is>
      </c>
      <c r="C100" s="26" t="inlineStr">
        <is>
          <t>Commodities</t>
        </is>
      </c>
      <c r="D100" s="27" t="inlineStr">
        <is>
          <t>Minério de ferro, petróleo Brent, soja</t>
        </is>
      </c>
      <c r="E100" s="26" t="inlineStr">
        <is>
          <t>FRED</t>
        </is>
      </c>
      <c r="F100" s="26" t="inlineStr">
        <is>
          <t>PIORECRUSDM / DCOILBRENTEU / PSOYBUSDM</t>
        </is>
      </c>
      <c r="G100" s="26" t="inlineStr">
        <is>
          <t>Mensal/Diária</t>
        </is>
      </c>
      <c r="H100" s="26" t="inlineStr">
        <is>
          <t>US$</t>
        </is>
      </c>
      <c r="I100" s="26" t="inlineStr">
        <is>
          <t>Índice</t>
        </is>
      </c>
      <c r="J100" s="26" t="inlineStr">
        <is>
          <t>Nível, MoM, QoQ, YoY, acum. 3/6/9/12m, 3m/6m SAAR, real/nominal</t>
        </is>
      </c>
      <c r="K100" s="26" t="inlineStr">
        <is>
          <t>MVP</t>
        </is>
      </c>
      <c r="L100" s="26" t="inlineStr">
        <is>
          <t>Verificado</t>
        </is>
      </c>
      <c r="M100" s="26" t="inlineStr"/>
    </row>
    <row r="101">
      <c r="A101" s="25" t="inlineStr">
        <is>
          <t>BR-090</t>
        </is>
      </c>
      <c r="B101" s="26" t="inlineStr">
        <is>
          <t>Setor Externo</t>
        </is>
      </c>
      <c r="C101" s="26" t="inlineStr">
        <is>
          <t>Commodities</t>
        </is>
      </c>
      <c r="D101" s="27" t="inlineStr">
        <is>
          <t>Termos de troca</t>
        </is>
      </c>
      <c r="E101" s="26" t="inlineStr">
        <is>
          <t>FUNCEX / Ipeadata</t>
        </is>
      </c>
      <c r="F101" s="26" t="inlineStr">
        <is>
          <t>A mapear</t>
        </is>
      </c>
      <c r="G101" s="26" t="inlineStr">
        <is>
          <t>Mensal</t>
        </is>
      </c>
      <c r="H101" s="26" t="inlineStr">
        <is>
          <t>Índice</t>
        </is>
      </c>
      <c r="I101" s="26" t="inlineStr">
        <is>
          <t>Índice</t>
        </is>
      </c>
      <c r="J101" s="26" t="inlineStr">
        <is>
          <t>Nível, MoM, QoQ, YoY, acum. 3/6/9/12m, 3m/6m SAAR, real/nominal</t>
        </is>
      </c>
      <c r="K101" s="26" t="inlineStr">
        <is>
          <t>v2</t>
        </is>
      </c>
      <c r="L101" s="26" t="inlineStr">
        <is>
          <t>A mapear</t>
        </is>
      </c>
      <c r="M101" s="26" t="inlineStr"/>
    </row>
    <row r="102">
      <c r="A102" s="25" t="inlineStr">
        <is>
          <t>BR-091</t>
        </is>
      </c>
      <c r="B102" s="26" t="inlineStr">
        <is>
          <t>Famílias</t>
        </is>
      </c>
      <c r="C102" s="26" t="inlineStr">
        <is>
          <t>Balanço</t>
        </is>
      </c>
      <c r="D102" s="27" t="inlineStr">
        <is>
          <t>Endividamento das famílias com o SFN (% renda 12m)</t>
        </is>
      </c>
      <c r="E102" s="26" t="inlineStr">
        <is>
          <t>BCB SGS</t>
        </is>
      </c>
      <c r="F102" s="26" t="inlineStr">
        <is>
          <t>29037</t>
        </is>
      </c>
      <c r="G102" s="26" t="inlineStr">
        <is>
          <t>Mensal</t>
        </is>
      </c>
      <c r="H102" s="26" t="inlineStr">
        <is>
          <t>%</t>
        </is>
      </c>
      <c r="I102" s="26" t="inlineStr">
        <is>
          <t>Taxa</t>
        </is>
      </c>
      <c r="J102" s="26" t="inlineStr">
        <is>
          <t>Nível, Δ p.p. (MoM, YoY, 3/6/12m)</t>
        </is>
      </c>
      <c r="K102" s="26" t="inlineStr">
        <is>
          <t>MVP</t>
        </is>
      </c>
      <c r="L102" s="26" t="inlineStr">
        <is>
          <t>Verificado</t>
        </is>
      </c>
      <c r="M102" s="26" t="inlineStr">
        <is>
          <t>Ex-habitacional: 29038</t>
        </is>
      </c>
    </row>
    <row r="103">
      <c r="A103" s="25" t="inlineStr">
        <is>
          <t>BR-092</t>
        </is>
      </c>
      <c r="B103" s="26" t="inlineStr">
        <is>
          <t>Famílias</t>
        </is>
      </c>
      <c r="C103" s="26" t="inlineStr">
        <is>
          <t>Balanço</t>
        </is>
      </c>
      <c r="D103" s="27" t="inlineStr">
        <is>
          <t>Comprometimento de renda com serviço da dívida</t>
        </is>
      </c>
      <c r="E103" s="26" t="inlineStr">
        <is>
          <t>BCB SGS</t>
        </is>
      </c>
      <c r="F103" s="26" t="inlineStr">
        <is>
          <t>29034</t>
        </is>
      </c>
      <c r="G103" s="26" t="inlineStr">
        <is>
          <t>Mensal</t>
        </is>
      </c>
      <c r="H103" s="26" t="inlineStr">
        <is>
          <t>%</t>
        </is>
      </c>
      <c r="I103" s="26" t="inlineStr">
        <is>
          <t>Taxa</t>
        </is>
      </c>
      <c r="J103" s="26" t="inlineStr">
        <is>
          <t>Nível, Δ p.p. (MoM, YoY, 3/6/12m)</t>
        </is>
      </c>
      <c r="K103" s="26" t="inlineStr">
        <is>
          <t>MVP</t>
        </is>
      </c>
      <c r="L103" s="26" t="inlineStr">
        <is>
          <t>Verificado</t>
        </is>
      </c>
      <c r="M103" s="26" t="inlineStr">
        <is>
          <t>Equivalente a debt service % DPI</t>
        </is>
      </c>
    </row>
    <row r="104">
      <c r="A104" s="25" t="inlineStr">
        <is>
          <t>BR-093</t>
        </is>
      </c>
      <c r="B104" s="26" t="inlineStr">
        <is>
          <t>Famílias</t>
        </is>
      </c>
      <c r="C104" s="26" t="inlineStr">
        <is>
          <t>Crédito</t>
        </is>
      </c>
      <c r="D104" s="27" t="inlineStr">
        <is>
          <t>Cartão de crédito total (PF)</t>
        </is>
      </c>
      <c r="E104" s="26" t="inlineStr">
        <is>
          <t>BCB SGS</t>
        </is>
      </c>
      <c r="F104" s="26" t="inlineStr">
        <is>
          <t>20590</t>
        </is>
      </c>
      <c r="G104" s="26" t="inlineStr">
        <is>
          <t>Mensal</t>
        </is>
      </c>
      <c r="H104" s="26" t="inlineStr">
        <is>
          <t>R$ mi</t>
        </is>
      </c>
      <c r="I104" s="26" t="inlineStr">
        <is>
          <t>Estoque</t>
        </is>
      </c>
      <c r="J104" s="26" t="inlineStr">
        <is>
          <t>Nível, MoM %, YoY %, real/nominal, % PIB</t>
        </is>
      </c>
      <c r="K104" s="26" t="inlineStr">
        <is>
          <t>MVP</t>
        </is>
      </c>
      <c r="L104" s="26" t="inlineStr">
        <is>
          <t>Verificado</t>
        </is>
      </c>
      <c r="M104" s="26" t="inlineStr"/>
    </row>
    <row r="105">
      <c r="A105" s="25" t="inlineStr">
        <is>
          <t>BR-094</t>
        </is>
      </c>
      <c r="B105" s="26" t="inlineStr">
        <is>
          <t>Famílias</t>
        </is>
      </c>
      <c r="C105" s="26" t="inlineStr">
        <is>
          <t>Crédito</t>
        </is>
      </c>
      <c r="D105" s="27" t="inlineStr">
        <is>
          <t>Crédito pessoal total (PF)</t>
        </is>
      </c>
      <c r="E105" s="26" t="inlineStr">
        <is>
          <t>BCB SGS</t>
        </is>
      </c>
      <c r="F105" s="26" t="inlineStr">
        <is>
          <t>20580</t>
        </is>
      </c>
      <c r="G105" s="26" t="inlineStr">
        <is>
          <t>Mensal</t>
        </is>
      </c>
      <c r="H105" s="26" t="inlineStr">
        <is>
          <t>R$ mi</t>
        </is>
      </c>
      <c r="I105" s="26" t="inlineStr">
        <is>
          <t>Estoque</t>
        </is>
      </c>
      <c r="J105" s="26" t="inlineStr">
        <is>
          <t>Nível, MoM %, YoY %, real/nominal, % PIB</t>
        </is>
      </c>
      <c r="K105" s="26" t="inlineStr">
        <is>
          <t>MVP</t>
        </is>
      </c>
      <c r="L105" s="26" t="inlineStr">
        <is>
          <t>Verificado</t>
        </is>
      </c>
      <c r="M105" s="26" t="inlineStr"/>
    </row>
    <row r="106">
      <c r="A106" s="25" t="inlineStr">
        <is>
          <t>BR-095</t>
        </is>
      </c>
      <c r="B106" s="26" t="inlineStr">
        <is>
          <t>Famílias</t>
        </is>
      </c>
      <c r="C106" s="26" t="inlineStr">
        <is>
          <t>Crédito</t>
        </is>
      </c>
      <c r="D106" s="27" t="inlineStr">
        <is>
          <t>Financiamento imobiliário (PF)</t>
        </is>
      </c>
      <c r="E106" s="26" t="inlineStr">
        <is>
          <t>BCB SGS</t>
        </is>
      </c>
      <c r="F106" s="26" t="inlineStr">
        <is>
          <t>20612</t>
        </is>
      </c>
      <c r="G106" s="26" t="inlineStr">
        <is>
          <t>Mensal</t>
        </is>
      </c>
      <c r="H106" s="26" t="inlineStr">
        <is>
          <t>R$ mi</t>
        </is>
      </c>
      <c r="I106" s="26" t="inlineStr">
        <is>
          <t>Estoque</t>
        </is>
      </c>
      <c r="J106" s="26" t="inlineStr">
        <is>
          <t>Nível, MoM %, YoY %, real/nominal, % PIB</t>
        </is>
      </c>
      <c r="K106" s="26" t="inlineStr">
        <is>
          <t>MVP</t>
        </is>
      </c>
      <c r="L106" s="26" t="inlineStr">
        <is>
          <t>Verificado</t>
        </is>
      </c>
      <c r="M106" s="26" t="inlineStr"/>
    </row>
    <row r="107">
      <c r="A107" s="25" t="inlineStr">
        <is>
          <t>BR-096</t>
        </is>
      </c>
      <c r="B107" s="26" t="inlineStr">
        <is>
          <t>Famílias</t>
        </is>
      </c>
      <c r="C107" s="26" t="inlineStr">
        <is>
          <t>Crédito</t>
        </is>
      </c>
      <c r="D107" s="27" t="inlineStr">
        <is>
          <t>Inadimplência PF</t>
        </is>
      </c>
      <c r="E107" s="26" t="inlineStr">
        <is>
          <t>BCB SGS</t>
        </is>
      </c>
      <c r="F107" s="26" t="inlineStr">
        <is>
          <t>21084</t>
        </is>
      </c>
      <c r="G107" s="26" t="inlineStr">
        <is>
          <t>Mensal</t>
        </is>
      </c>
      <c r="H107" s="26" t="inlineStr">
        <is>
          <t>%</t>
        </is>
      </c>
      <c r="I107" s="26" t="inlineStr">
        <is>
          <t>Taxa</t>
        </is>
      </c>
      <c r="J107" s="26" t="inlineStr">
        <is>
          <t>Nível, Δ p.p. (MoM, YoY, 3/6/12m)</t>
        </is>
      </c>
      <c r="K107" s="26" t="inlineStr">
        <is>
          <t>MVP</t>
        </is>
      </c>
      <c r="L107" s="26" t="inlineStr">
        <is>
          <t>Verificado</t>
        </is>
      </c>
      <c r="M107" s="26" t="inlineStr"/>
    </row>
    <row r="108">
      <c r="A108" s="25" t="inlineStr">
        <is>
          <t>BR-097</t>
        </is>
      </c>
      <c r="B108" s="26" t="inlineStr">
        <is>
          <t>Famílias</t>
        </is>
      </c>
      <c r="C108" s="26" t="inlineStr">
        <is>
          <t>Renda</t>
        </is>
      </c>
      <c r="D108" s="27" t="inlineStr">
        <is>
          <t>Massa salarial real e consumo das famílias</t>
        </is>
      </c>
      <c r="E108" s="26" t="inlineStr">
        <is>
          <t>IBGE SIDRA</t>
        </is>
      </c>
      <c r="F108" s="26" t="inlineStr">
        <is>
          <t>ver Trabalho e Atividade</t>
        </is>
      </c>
      <c r="G108" s="26" t="inlineStr">
        <is>
          <t>—</t>
        </is>
      </c>
      <c r="H108" s="26" t="inlineStr">
        <is>
          <t>—</t>
        </is>
      </c>
      <c r="I108" s="26" t="inlineStr">
        <is>
          <t>Derivado</t>
        </is>
      </c>
      <c r="J108" s="26" t="inlineStr">
        <is>
          <t>Conforme definição da fórmula</t>
        </is>
      </c>
      <c r="K108" s="26" t="inlineStr">
        <is>
          <t>MVP</t>
        </is>
      </c>
      <c r="L108" s="26" t="inlineStr">
        <is>
          <t>Derivado</t>
        </is>
      </c>
      <c r="M108" s="26" t="inlineStr">
        <is>
          <t>Reaproveita séries das outras abas</t>
        </is>
      </c>
    </row>
    <row r="109">
      <c r="A109" s="25" t="inlineStr">
        <is>
          <t>BR-098</t>
        </is>
      </c>
      <c r="B109" s="26" t="inlineStr">
        <is>
          <t>Famílias</t>
        </is>
      </c>
      <c r="C109" s="26" t="inlineStr">
        <is>
          <t>Confiança</t>
        </is>
      </c>
      <c r="D109" s="27" t="inlineStr">
        <is>
          <t>Confiança do consumidor FGV</t>
        </is>
      </c>
      <c r="E109" s="26" t="inlineStr">
        <is>
          <t>FGV IBRE</t>
        </is>
      </c>
      <c r="F109" s="26" t="inlineStr">
        <is>
          <t>—</t>
        </is>
      </c>
      <c r="G109" s="26" t="inlineStr">
        <is>
          <t>Mensal</t>
        </is>
      </c>
      <c r="H109" s="26" t="inlineStr">
        <is>
          <t>Índice</t>
        </is>
      </c>
      <c r="I109" s="26" t="inlineStr">
        <is>
          <t>Índice</t>
        </is>
      </c>
      <c r="J109" s="26" t="inlineStr">
        <is>
          <t>Nível, MoM, QoQ, YoY, acum. 3/6/9/12m, 3m/6m SAAR, real/nominal</t>
        </is>
      </c>
      <c r="K109" s="26" t="inlineStr">
        <is>
          <t>v2</t>
        </is>
      </c>
      <c r="L109" s="26" t="inlineStr">
        <is>
          <t>Sem API</t>
        </is>
      </c>
      <c r="M109" s="26" t="inlineStr"/>
    </row>
    <row r="110">
      <c r="A110" s="25" t="inlineStr">
        <is>
          <t>BR-099</t>
        </is>
      </c>
      <c r="B110" s="26" t="inlineStr">
        <is>
          <t>Famílias</t>
        </is>
      </c>
      <c r="C110" s="26" t="inlineStr">
        <is>
          <t>Poupança</t>
        </is>
      </c>
      <c r="D110" s="27" t="inlineStr">
        <is>
          <t>Captação líquida da poupança</t>
        </is>
      </c>
      <c r="E110" s="26" t="inlineStr">
        <is>
          <t>BCB SGS</t>
        </is>
      </c>
      <c r="F110" s="26" t="inlineStr">
        <is>
          <t>A mapear</t>
        </is>
      </c>
      <c r="G110" s="26" t="inlineStr">
        <is>
          <t>Mensal</t>
        </is>
      </c>
      <c r="H110" s="26" t="inlineStr">
        <is>
          <t>R$ mi</t>
        </is>
      </c>
      <c r="I110" s="26" t="inlineStr">
        <is>
          <t>Fluxo</t>
        </is>
      </c>
      <c r="J110" s="26" t="inlineStr">
        <is>
          <t>Nível, soma 3/12m, MoM % (SA), YoY %, real/nominal, % PIB</t>
        </is>
      </c>
      <c r="K110" s="26" t="inlineStr">
        <is>
          <t>v2</t>
        </is>
      </c>
      <c r="L110" s="26" t="inlineStr">
        <is>
          <t>A mapear</t>
        </is>
      </c>
      <c r="M110" s="26" t="inlineStr"/>
    </row>
    <row r="111">
      <c r="A111" s="25" t="inlineStr">
        <is>
          <t>BR-100</t>
        </is>
      </c>
      <c r="B111" s="26" t="inlineStr">
        <is>
          <t>Empresas</t>
        </is>
      </c>
      <c r="C111" s="26" t="inlineStr">
        <is>
          <t>Crédito</t>
        </is>
      </c>
      <c r="D111" s="27" t="inlineStr">
        <is>
          <t>Saldo PJ e inadimplência PJ</t>
        </is>
      </c>
      <c r="E111" s="26" t="inlineStr">
        <is>
          <t>BCB SGS</t>
        </is>
      </c>
      <c r="F111" s="26" t="inlineStr">
        <is>
          <t>20540 / 21083</t>
        </is>
      </c>
      <c r="G111" s="26" t="inlineStr">
        <is>
          <t>Mensal</t>
        </is>
      </c>
      <c r="H111" s="26" t="inlineStr">
        <is>
          <t>R$ mi / %</t>
        </is>
      </c>
      <c r="I111" s="26" t="inlineStr">
        <is>
          <t>Estoque</t>
        </is>
      </c>
      <c r="J111" s="26" t="inlineStr">
        <is>
          <t>Nível, MoM %, YoY %, real/nominal, % PIB</t>
        </is>
      </c>
      <c r="K111" s="26" t="inlineStr">
        <is>
          <t>v2</t>
        </is>
      </c>
      <c r="L111" s="26" t="inlineStr">
        <is>
          <t>Verificado</t>
        </is>
      </c>
      <c r="M111" s="26" t="inlineStr"/>
    </row>
    <row r="112">
      <c r="A112" s="25" t="inlineStr">
        <is>
          <t>BR-101</t>
        </is>
      </c>
      <c r="B112" s="26" t="inlineStr">
        <is>
          <t>Empresas</t>
        </is>
      </c>
      <c r="C112" s="26" t="inlineStr">
        <is>
          <t>Crédito</t>
        </is>
      </c>
      <c r="D112" s="27" t="inlineStr">
        <is>
          <t>Cartão de crédito PJ</t>
        </is>
      </c>
      <c r="E112" s="26" t="inlineStr">
        <is>
          <t>BCB SGS</t>
        </is>
      </c>
      <c r="F112" s="26" t="inlineStr">
        <is>
          <t>20564</t>
        </is>
      </c>
      <c r="G112" s="26" t="inlineStr">
        <is>
          <t>Mensal</t>
        </is>
      </c>
      <c r="H112" s="26" t="inlineStr">
        <is>
          <t>R$ mi</t>
        </is>
      </c>
      <c r="I112" s="26" t="inlineStr">
        <is>
          <t>Estoque</t>
        </is>
      </c>
      <c r="J112" s="26" t="inlineStr">
        <is>
          <t>Nível, MoM %, YoY %, real/nominal, % PIB</t>
        </is>
      </c>
      <c r="K112" s="26" t="inlineStr">
        <is>
          <t>v2</t>
        </is>
      </c>
      <c r="L112" s="26" t="inlineStr">
        <is>
          <t>Verificado</t>
        </is>
      </c>
      <c r="M112" s="26" t="inlineStr"/>
    </row>
    <row r="113">
      <c r="A113" s="25" t="inlineStr">
        <is>
          <t>BR-102</t>
        </is>
      </c>
      <c r="B113" s="26" t="inlineStr">
        <is>
          <t>Empresas</t>
        </is>
      </c>
      <c r="C113" s="26" t="inlineStr">
        <is>
          <t>Mercado de capitais</t>
        </is>
      </c>
      <c r="D113" s="27" t="inlineStr">
        <is>
          <t>Emissões de debêntures e mercado de capitais</t>
        </is>
      </c>
      <c r="E113" s="26" t="inlineStr">
        <is>
          <t>ANBIMA</t>
        </is>
      </c>
      <c r="F113" s="26" t="inlineStr">
        <is>
          <t>Boletim (xlsx)</t>
        </is>
      </c>
      <c r="G113" s="26" t="inlineStr">
        <is>
          <t>Mensal</t>
        </is>
      </c>
      <c r="H113" s="26" t="inlineStr">
        <is>
          <t>R$ mi</t>
        </is>
      </c>
      <c r="I113" s="26" t="inlineStr">
        <is>
          <t>Fluxo</t>
        </is>
      </c>
      <c r="J113" s="26" t="inlineStr">
        <is>
          <t>Nível, soma 3/12m, MoM % (SA), YoY %, real/nominal, % PIB</t>
        </is>
      </c>
      <c r="K113" s="26" t="inlineStr">
        <is>
          <t>v2</t>
        </is>
      </c>
      <c r="L113" s="26" t="inlineStr">
        <is>
          <t>Sem API</t>
        </is>
      </c>
      <c r="M113" s="26" t="inlineStr"/>
    </row>
    <row r="114">
      <c r="A114" s="25" t="inlineStr">
        <is>
          <t>BR-103</t>
        </is>
      </c>
      <c r="B114" s="26" t="inlineStr">
        <is>
          <t>Empresas</t>
        </is>
      </c>
      <c r="C114" s="26" t="inlineStr">
        <is>
          <t>Stress</t>
        </is>
      </c>
      <c r="D114" s="27" t="inlineStr">
        <is>
          <t>Recuperações judiciais e falências</t>
        </is>
      </c>
      <c r="E114" s="26" t="inlineStr">
        <is>
          <t>Serasa Experian</t>
        </is>
      </c>
      <c r="F114" s="26" t="inlineStr">
        <is>
          <t>Indicador público (site)</t>
        </is>
      </c>
      <c r="G114" s="26" t="inlineStr">
        <is>
          <t>Mensal</t>
        </is>
      </c>
      <c r="H114" s="26" t="inlineStr">
        <is>
          <t>Pedidos</t>
        </is>
      </c>
      <c r="I114" s="26" t="inlineStr">
        <is>
          <t>Fluxo</t>
        </is>
      </c>
      <c r="J114" s="26" t="inlineStr">
        <is>
          <t>Nível, soma 3/12m, MoM % (SA), YoY %, real/nominal, % PIB</t>
        </is>
      </c>
      <c r="K114" s="26" t="inlineStr">
        <is>
          <t>v2</t>
        </is>
      </c>
      <c r="L114" s="26" t="inlineStr">
        <is>
          <t>Sem API</t>
        </is>
      </c>
      <c r="M114" s="26" t="inlineStr">
        <is>
          <t>Equivalente ao bankruptcy index</t>
        </is>
      </c>
    </row>
    <row r="115">
      <c r="A115" s="25" t="inlineStr">
        <is>
          <t>BR-104</t>
        </is>
      </c>
      <c r="B115" s="26" t="inlineStr">
        <is>
          <t>Empresas</t>
        </is>
      </c>
      <c r="C115" s="26" t="inlineStr">
        <is>
          <t>Resultados</t>
        </is>
      </c>
      <c r="D115" s="27" t="inlineStr">
        <is>
          <t>Lucro e endividamento de empresas abertas</t>
        </is>
      </c>
      <c r="E115" s="26" t="inlineStr">
        <is>
          <t>CVM Dados Abertos</t>
        </is>
      </c>
      <c r="F115" s="26" t="inlineStr">
        <is>
          <t>DFP/ITR</t>
        </is>
      </c>
      <c r="G115" s="26" t="inlineStr">
        <is>
          <t>Trimestral</t>
        </is>
      </c>
      <c r="H115" s="26" t="inlineStr">
        <is>
          <t>R$ mi</t>
        </is>
      </c>
      <c r="I115" s="26" t="inlineStr">
        <is>
          <t>Fluxo</t>
        </is>
      </c>
      <c r="J115" s="26" t="inlineStr">
        <is>
          <t>Nível, soma 3/12m, MoM % (SA), YoY %, real/nominal, % PIB</t>
        </is>
      </c>
      <c r="K115" s="26" t="inlineStr">
        <is>
          <t>v3</t>
        </is>
      </c>
      <c r="L115" s="26" t="inlineStr">
        <is>
          <t>Confirmar</t>
        </is>
      </c>
      <c r="M115" s="26" t="inlineStr">
        <is>
          <t>Trabalho pesado de limpeza</t>
        </is>
      </c>
    </row>
    <row r="116">
      <c r="A116" s="25" t="inlineStr">
        <is>
          <t>BR-105</t>
        </is>
      </c>
      <c r="B116" s="26" t="inlineStr">
        <is>
          <t>Empresas</t>
        </is>
      </c>
      <c r="C116" s="26" t="inlineStr">
        <is>
          <t>Investimento</t>
        </is>
      </c>
      <c r="D116" s="27" t="inlineStr">
        <is>
          <t>FBCF</t>
        </is>
      </c>
      <c r="E116" s="26" t="inlineStr">
        <is>
          <t>IBGE SIDRA</t>
        </is>
      </c>
      <c r="F116" s="26" t="inlineStr">
        <is>
          <t>t1621/v584/c11255=93406</t>
        </is>
      </c>
      <c r="G116" s="26" t="inlineStr">
        <is>
          <t>Trimestral</t>
        </is>
      </c>
      <c r="H116" s="26" t="inlineStr">
        <is>
          <t>Índice</t>
        </is>
      </c>
      <c r="I116" s="26" t="inlineStr">
        <is>
          <t>Índice</t>
        </is>
      </c>
      <c r="J116" s="26" t="inlineStr">
        <is>
          <t>Nível, MoM, QoQ, YoY, acum. 3/6/9/12m, 3m/6m SAAR, real/nominal</t>
        </is>
      </c>
      <c r="K116" s="26" t="inlineStr">
        <is>
          <t>MVP</t>
        </is>
      </c>
      <c r="L116" s="26" t="inlineStr">
        <is>
          <t>Verificado</t>
        </is>
      </c>
      <c r="M116" s="26" t="inlineStr">
        <is>
          <t>Já carregada em Atividade</t>
        </is>
      </c>
    </row>
    <row r="117">
      <c r="A117" s="25" t="inlineStr">
        <is>
          <t>BR-106</t>
        </is>
      </c>
      <c r="B117" s="26" t="inlineStr">
        <is>
          <t>Mercado &amp; Risco</t>
        </is>
      </c>
      <c r="C117" s="26" t="inlineStr">
        <is>
          <t>Bolsa</t>
        </is>
      </c>
      <c r="D117" s="27" t="inlineStr">
        <is>
          <t>Ibovespa</t>
        </is>
      </c>
      <c r="E117" s="26" t="inlineStr">
        <is>
          <t>B3 (oficial) / Yahoo (alternativa)</t>
        </is>
      </c>
      <c r="F117" s="26" t="inlineStr">
        <is>
          <t>indice=IBOV · yahoo=^BVSP</t>
        </is>
      </c>
      <c r="G117" s="26" t="inlineStr">
        <is>
          <t>Diária</t>
        </is>
      </c>
      <c r="H117" s="26" t="inlineStr">
        <is>
          <t>Pontos</t>
        </is>
      </c>
      <c r="I117" s="26" t="inlineStr">
        <is>
          <t>Índice</t>
        </is>
      </c>
      <c r="J117" s="26" t="inlineStr">
        <is>
          <t>Nível, MoM, QoQ, YoY, acum. 3/6/9/12m, 3m/6m SAAR, real/nominal</t>
        </is>
      </c>
      <c r="K117" s="26" t="inlineStr">
        <is>
          <t>MVP</t>
        </is>
      </c>
      <c r="L117" s="26" t="inlineStr">
        <is>
          <t>Verificado</t>
        </is>
      </c>
      <c r="M117" s="26" t="inlineStr">
        <is>
          <t>Fechamento diário desde 1998 (antes, reescalonamentos ÷10 sem ajuste na fonte: v2). Yahoo cobre a janela recente se a B3 falhar; FMP grátis não inclui Ibovespa (HTTP 402)</t>
        </is>
      </c>
    </row>
    <row r="118">
      <c r="A118" s="25" t="inlineStr">
        <is>
          <t>BR-107</t>
        </is>
      </c>
      <c r="B118" s="26" t="inlineStr">
        <is>
          <t>Mercado &amp; Risco</t>
        </is>
      </c>
      <c r="C118" s="26" t="inlineStr">
        <is>
          <t>Juros</t>
        </is>
      </c>
      <c r="D118" s="27" t="inlineStr">
        <is>
          <t>Curva DI futuro (vértices)</t>
        </is>
      </c>
      <c r="E118" s="26" t="inlineStr">
        <is>
          <t>ANBIMA ETTJ / B3</t>
        </is>
      </c>
      <c r="F118" s="26" t="inlineStr">
        <is>
          <t>Arquivos diários</t>
        </is>
      </c>
      <c r="G118" s="26" t="inlineStr">
        <is>
          <t>Diária</t>
        </is>
      </c>
      <c r="H118" s="26" t="inlineStr">
        <is>
          <t>% a.a.</t>
        </is>
      </c>
      <c r="I118" s="26" t="inlineStr">
        <is>
          <t>Taxa</t>
        </is>
      </c>
      <c r="J118" s="26" t="inlineStr">
        <is>
          <t>Nível, Δ p.p. (MoM, YoY, 3/6/12m)</t>
        </is>
      </c>
      <c r="K118" s="26" t="inlineStr">
        <is>
          <t>v2</t>
        </is>
      </c>
      <c r="L118" s="26" t="inlineStr">
        <is>
          <t>Confirmar</t>
        </is>
      </c>
      <c r="M118" s="26" t="inlineStr">
        <is>
          <t>Formato instável: precisa de teste de contrato</t>
        </is>
      </c>
    </row>
    <row r="119">
      <c r="A119" s="25" t="inlineStr">
        <is>
          <t>BR-108</t>
        </is>
      </c>
      <c r="B119" s="26" t="inlineStr">
        <is>
          <t>Mercado &amp; Risco</t>
        </is>
      </c>
      <c r="C119" s="26" t="inlineStr">
        <is>
          <t>Juros</t>
        </is>
      </c>
      <c r="D119" s="27" t="inlineStr">
        <is>
          <t>Taxas de títulos públicos (pré e NTN-B)</t>
        </is>
      </c>
      <c r="E119" s="26" t="inlineStr">
        <is>
          <t>Tesouro Transparente</t>
        </is>
      </c>
      <c r="F119" s="26" t="inlineStr">
        <is>
          <t>Taxas históricas (CSV)</t>
        </is>
      </c>
      <c r="G119" s="26" t="inlineStr">
        <is>
          <t>Diária</t>
        </is>
      </c>
      <c r="H119" s="26" t="inlineStr">
        <is>
          <t>% a.a.</t>
        </is>
      </c>
      <c r="I119" s="26" t="inlineStr">
        <is>
          <t>Taxa</t>
        </is>
      </c>
      <c r="J119" s="26" t="inlineStr">
        <is>
          <t>Nível, Δ p.p. (MoM, YoY, 3/6/12m)</t>
        </is>
      </c>
      <c r="K119" s="26" t="inlineStr">
        <is>
          <t>v2</t>
        </is>
      </c>
      <c r="L119" s="26" t="inlineStr">
        <is>
          <t>Confirmar</t>
        </is>
      </c>
      <c r="M119" s="26" t="inlineStr"/>
    </row>
    <row r="120">
      <c r="A120" s="25" t="inlineStr">
        <is>
          <t>BR-109</t>
        </is>
      </c>
      <c r="B120" s="26" t="inlineStr">
        <is>
          <t>Mercado &amp; Risco</t>
        </is>
      </c>
      <c r="C120" s="26" t="inlineStr">
        <is>
          <t>Risco-país</t>
        </is>
      </c>
      <c r="D120" s="27" t="inlineStr">
        <is>
          <t>EMBI+ Brasil</t>
        </is>
      </c>
      <c r="E120" s="26" t="inlineStr">
        <is>
          <t>Ipeadata</t>
        </is>
      </c>
      <c r="F120" s="26" t="inlineStr">
        <is>
          <t>JPM366_EMBI366</t>
        </is>
      </c>
      <c r="G120" s="26" t="inlineStr">
        <is>
          <t>Diária</t>
        </is>
      </c>
      <c r="H120" s="26" t="inlineStr">
        <is>
          <t>bps</t>
        </is>
      </c>
      <c r="I120" s="26" t="inlineStr">
        <is>
          <t>Taxa</t>
        </is>
      </c>
      <c r="J120" s="26" t="inlineStr">
        <is>
          <t>Nível, Δ p.p. (MoM, YoY, 3/6/12m)</t>
        </is>
      </c>
      <c r="K120" s="26" t="inlineStr">
        <is>
          <t>v2</t>
        </is>
      </c>
      <c r="L120" s="26" t="inlineStr">
        <is>
          <t>Confirmar</t>
        </is>
      </c>
      <c r="M120" s="26" t="inlineStr">
        <is>
          <t>Conferir se ainda é atualizado</t>
        </is>
      </c>
    </row>
    <row r="121">
      <c r="A121" s="25" t="inlineStr">
        <is>
          <t>BR-110</t>
        </is>
      </c>
      <c r="B121" s="26" t="inlineStr">
        <is>
          <t>Mercado &amp; Risco</t>
        </is>
      </c>
      <c r="C121" s="26" t="inlineStr">
        <is>
          <t>Risco-país</t>
        </is>
      </c>
      <c r="D121" s="27" t="inlineStr">
        <is>
          <t>CDS 5 anos Brasil</t>
        </is>
      </c>
      <c r="E121" s="26" t="inlineStr">
        <is>
          <t>Bloomberg / LSEG</t>
        </is>
      </c>
      <c r="F121" s="26" t="inlineStr">
        <is>
          <t>—</t>
        </is>
      </c>
      <c r="G121" s="26" t="inlineStr">
        <is>
          <t>Diária</t>
        </is>
      </c>
      <c r="H121" s="26" t="inlineStr">
        <is>
          <t>bps</t>
        </is>
      </c>
      <c r="I121" s="26" t="inlineStr">
        <is>
          <t>Taxa</t>
        </is>
      </c>
      <c r="J121" s="26" t="inlineStr">
        <is>
          <t>Nível, Δ p.p. (MoM, YoY, 3/6/12m)</t>
        </is>
      </c>
      <c r="K121" s="26" t="inlineStr">
        <is>
          <t>v2</t>
        </is>
      </c>
      <c r="L121" s="26" t="inlineStr">
        <is>
          <t>Pago</t>
        </is>
      </c>
      <c r="M121" s="26" t="inlineStr">
        <is>
          <t>Sem fonte gratuita confiável</t>
        </is>
      </c>
    </row>
    <row r="122">
      <c r="A122" s="25" t="inlineStr">
        <is>
          <t>BR-111</t>
        </is>
      </c>
      <c r="B122" s="26" t="inlineStr">
        <is>
          <t>Mercado &amp; Risco</t>
        </is>
      </c>
      <c r="C122" s="26" t="inlineStr">
        <is>
          <t>Fluxo</t>
        </is>
      </c>
      <c r="D122" s="27" t="inlineStr">
        <is>
          <t>Fluxo estrangeiro na B3</t>
        </is>
      </c>
      <c r="E122" s="26" t="inlineStr">
        <is>
          <t>B3</t>
        </is>
      </c>
      <c r="F122" s="26" t="inlineStr">
        <is>
          <t>Site (scraping)</t>
        </is>
      </c>
      <c r="G122" s="26" t="inlineStr">
        <is>
          <t>Diária</t>
        </is>
      </c>
      <c r="H122" s="26" t="inlineStr">
        <is>
          <t>R$ mi</t>
        </is>
      </c>
      <c r="I122" s="26" t="inlineStr">
        <is>
          <t>Fluxo</t>
        </is>
      </c>
      <c r="J122" s="26" t="inlineStr">
        <is>
          <t>Nível, soma 3/12m, MoM % (SA), YoY %, real/nominal, % PIB</t>
        </is>
      </c>
      <c r="K122" s="26" t="inlineStr">
        <is>
          <t>v3</t>
        </is>
      </c>
      <c r="L122" s="26" t="inlineStr">
        <is>
          <t>Sem API</t>
        </is>
      </c>
      <c r="M122" s="26" t="inlineStr">
        <is>
          <t>Alto risco técnico</t>
        </is>
      </c>
    </row>
    <row r="123">
      <c r="A123" s="25" t="inlineStr">
        <is>
          <t>BR-112</t>
        </is>
      </c>
      <c r="B123" s="26" t="inlineStr">
        <is>
          <t>Política</t>
        </is>
      </c>
      <c r="C123" s="26" t="inlineStr">
        <is>
          <t>Congresso</t>
        </is>
      </c>
      <c r="D123" s="27" t="inlineStr">
        <is>
          <t>Agenda, proposições e votações da Câmara</t>
        </is>
      </c>
      <c r="E123" s="26" t="inlineStr">
        <is>
          <t>Câmara Dados Abertos</t>
        </is>
      </c>
      <c r="F123" s="26" t="inlineStr">
        <is>
          <t>API v2</t>
        </is>
      </c>
      <c r="G123" s="26" t="inlineStr">
        <is>
          <t>Diária</t>
        </is>
      </c>
      <c r="H123" s="26" t="inlineStr">
        <is>
          <t>Texto</t>
        </is>
      </c>
      <c r="I123" s="26" t="inlineStr">
        <is>
          <t>Evento</t>
        </is>
      </c>
      <c r="J123" s="26" t="inlineStr">
        <is>
          <t>—</t>
        </is>
      </c>
      <c r="K123" s="26" t="inlineStr">
        <is>
          <t>v2</t>
        </is>
      </c>
      <c r="L123" s="26" t="inlineStr">
        <is>
          <t>Confirmar</t>
        </is>
      </c>
      <c r="M123" s="26" t="inlineStr"/>
    </row>
    <row r="124">
      <c r="A124" s="25" t="inlineStr">
        <is>
          <t>BR-113</t>
        </is>
      </c>
      <c r="B124" s="26" t="inlineStr">
        <is>
          <t>Política</t>
        </is>
      </c>
      <c r="C124" s="26" t="inlineStr">
        <is>
          <t>Congresso</t>
        </is>
      </c>
      <c r="D124" s="27" t="inlineStr">
        <is>
          <t>Agenda e votações do Senado</t>
        </is>
      </c>
      <c r="E124" s="26" t="inlineStr">
        <is>
          <t>Senado Dados Abertos</t>
        </is>
      </c>
      <c r="F124" s="26" t="inlineStr">
        <is>
          <t>API</t>
        </is>
      </c>
      <c r="G124" s="26" t="inlineStr">
        <is>
          <t>Diária</t>
        </is>
      </c>
      <c r="H124" s="26" t="inlineStr">
        <is>
          <t>Texto</t>
        </is>
      </c>
      <c r="I124" s="26" t="inlineStr">
        <is>
          <t>Evento</t>
        </is>
      </c>
      <c r="J124" s="26" t="inlineStr">
        <is>
          <t>—</t>
        </is>
      </c>
      <c r="K124" s="26" t="inlineStr">
        <is>
          <t>v2</t>
        </is>
      </c>
      <c r="L124" s="26" t="inlineStr">
        <is>
          <t>Confirmar</t>
        </is>
      </c>
      <c r="M124" s="26" t="inlineStr"/>
    </row>
    <row r="125">
      <c r="A125" s="25" t="inlineStr">
        <is>
          <t>BR-114</t>
        </is>
      </c>
      <c r="B125" s="26" t="inlineStr">
        <is>
          <t>Política</t>
        </is>
      </c>
      <c r="C125" s="26" t="inlineStr">
        <is>
          <t>Eleições</t>
        </is>
      </c>
      <c r="D125" s="27" t="inlineStr">
        <is>
          <t>Resultados eleitorais</t>
        </is>
      </c>
      <c r="E125" s="26" t="inlineStr">
        <is>
          <t>TSE Dados Abertos</t>
        </is>
      </c>
      <c r="F125" s="26" t="inlineStr">
        <is>
          <t>CSV</t>
        </is>
      </c>
      <c r="G125" s="26" t="inlineStr">
        <is>
          <t>Por eleição</t>
        </is>
      </c>
      <c r="H125" s="26" t="inlineStr">
        <is>
          <t>Votos</t>
        </is>
      </c>
      <c r="I125" s="26" t="inlineStr">
        <is>
          <t>Evento</t>
        </is>
      </c>
      <c r="J125" s="26" t="inlineStr">
        <is>
          <t>—</t>
        </is>
      </c>
      <c r="K125" s="26" t="inlineStr">
        <is>
          <t>v2</t>
        </is>
      </c>
      <c r="L125" s="26" t="inlineStr">
        <is>
          <t>Confirmar</t>
        </is>
      </c>
      <c r="M125" s="26" t="inlineStr"/>
    </row>
    <row r="126">
      <c r="A126" s="25" t="inlineStr">
        <is>
          <t>BR-115</t>
        </is>
      </c>
      <c r="B126" s="26" t="inlineStr">
        <is>
          <t>Política</t>
        </is>
      </c>
      <c r="C126" s="26" t="inlineStr">
        <is>
          <t>Opinião</t>
        </is>
      </c>
      <c r="D126" s="27" t="inlineStr">
        <is>
          <t>Aprovação do governo e pesquisas eleitorais</t>
        </is>
      </c>
      <c r="E126" s="26" t="inlineStr">
        <is>
          <t>Institutos (Quaest, Datafolha etc.)</t>
        </is>
      </c>
      <c r="F126" s="26" t="inlineStr">
        <is>
          <t>Curado</t>
        </is>
      </c>
      <c r="G126" s="26" t="inlineStr">
        <is>
          <t>Mensal</t>
        </is>
      </c>
      <c r="H126" s="26" t="inlineStr">
        <is>
          <t>%</t>
        </is>
      </c>
      <c r="I126" s="26" t="inlineStr">
        <is>
          <t>Taxa</t>
        </is>
      </c>
      <c r="J126" s="26" t="inlineStr">
        <is>
          <t>Nível, Δ p.p. (MoM, YoY, 3/6/12m)</t>
        </is>
      </c>
      <c r="K126" s="26" t="inlineStr">
        <is>
          <t>v2</t>
        </is>
      </c>
      <c r="L126" s="26" t="inlineStr">
        <is>
          <t>Curado</t>
        </is>
      </c>
      <c r="M126" s="26" t="inlineStr">
        <is>
          <t>Sem API; tabela própria com fonte por linha</t>
        </is>
      </c>
    </row>
    <row r="127">
      <c r="A127" s="25" t="inlineStr">
        <is>
          <t>BR-116</t>
        </is>
      </c>
      <c r="B127" s="26" t="inlineStr">
        <is>
          <t>Análises</t>
        </is>
      </c>
      <c r="C127" s="26" t="inlineStr">
        <is>
          <t>Ciclos</t>
        </is>
      </c>
      <c r="D127" s="27" t="inlineStr">
        <is>
          <t>Ciclos do Copom desde 1999 (duração, bps, contexto, ativos)</t>
        </is>
      </c>
      <c r="E127" s="26" t="inlineStr">
        <is>
          <t>Argus</t>
        </is>
      </c>
      <c r="F127" s="26" t="inlineStr">
        <is>
          <t>f(432, IPCA, câmbio, Ibov)</t>
        </is>
      </c>
      <c r="G127" s="26" t="inlineStr">
        <is>
          <t>Por ciclo</t>
        </is>
      </c>
      <c r="H127" s="26" t="inlineStr">
        <is>
          <t>bps / %</t>
        </is>
      </c>
      <c r="I127" s="26" t="inlineStr">
        <is>
          <t>Derivado</t>
        </is>
      </c>
      <c r="J127" s="26" t="inlineStr">
        <is>
          <t>Conforme definição da fórmula</t>
        </is>
      </c>
      <c r="K127" s="26" t="inlineStr">
        <is>
          <t>MVP</t>
        </is>
      </c>
      <c r="L127" s="26" t="inlineStr">
        <is>
          <t>Derivado</t>
        </is>
      </c>
      <c r="M127" s="26" t="inlineStr">
        <is>
          <t>Spec metodológica antes do código</t>
        </is>
      </c>
    </row>
    <row r="128">
      <c r="A128" s="25" t="inlineStr">
        <is>
          <t>BR-117</t>
        </is>
      </c>
      <c r="B128" s="26" t="inlineStr">
        <is>
          <t>Análises</t>
        </is>
      </c>
      <c r="C128" s="26" t="inlineStr">
        <is>
          <t>Juro neutro</t>
        </is>
      </c>
      <c r="D128" s="27" t="inlineStr">
        <is>
          <t>Juro neutro implícito no Focus (Selic longa − IPCA longo)</t>
        </is>
      </c>
      <c r="E128" s="26" t="inlineStr">
        <is>
          <t>Argus</t>
        </is>
      </c>
      <c r="F128" s="26" t="inlineStr">
        <is>
          <t>f(Focus Selic e IPCA t+3)</t>
        </is>
      </c>
      <c r="G128" s="26" t="inlineStr">
        <is>
          <t>Semanal</t>
        </is>
      </c>
      <c r="H128" s="26" t="inlineStr">
        <is>
          <t>% a.a.</t>
        </is>
      </c>
      <c r="I128" s="26" t="inlineStr">
        <is>
          <t>Derivado</t>
        </is>
      </c>
      <c r="J128" s="26" t="inlineStr">
        <is>
          <t>Conforme definição da fórmula</t>
        </is>
      </c>
      <c r="K128" s="26" t="inlineStr">
        <is>
          <t>MVP</t>
        </is>
      </c>
      <c r="L128" s="26" t="inlineStr">
        <is>
          <t>Derivado</t>
        </is>
      </c>
      <c r="M128" s="26" t="inlineStr">
        <is>
          <t>Leitura de mercado, não estimativa estrutural</t>
        </is>
      </c>
    </row>
    <row r="129">
      <c r="A129" s="25" t="inlineStr">
        <is>
          <t>BR-118</t>
        </is>
      </c>
      <c r="B129" s="26" t="inlineStr">
        <is>
          <t>Análises</t>
        </is>
      </c>
      <c r="C129" s="26" t="inlineStr">
        <is>
          <t>Juro neutro</t>
        </is>
      </c>
      <c r="D129" s="27" t="inlineStr">
        <is>
          <t>Juro real ex-ante × neutro (postura monetária)</t>
        </is>
      </c>
      <c r="E129" s="26" t="inlineStr">
        <is>
          <t>Argus</t>
        </is>
      </c>
      <c r="F129" s="26" t="inlineStr">
        <is>
          <t>f(juro real, neutro)</t>
        </is>
      </c>
      <c r="G129" s="26" t="inlineStr">
        <is>
          <t>Diária</t>
        </is>
      </c>
      <c r="H129" s="26" t="inlineStr">
        <is>
          <t>p.p.</t>
        </is>
      </c>
      <c r="I129" s="26" t="inlineStr">
        <is>
          <t>Derivado</t>
        </is>
      </c>
      <c r="J129" s="26" t="inlineStr">
        <is>
          <t>Conforme definição da fórmula</t>
        </is>
      </c>
      <c r="K129" s="26" t="inlineStr">
        <is>
          <t>MVP</t>
        </is>
      </c>
      <c r="L129" s="26" t="inlineStr">
        <is>
          <t>Derivado</t>
        </is>
      </c>
      <c r="M129" s="26" t="inlineStr"/>
    </row>
    <row r="130">
      <c r="A130" s="25" t="inlineStr">
        <is>
          <t>BR-119</t>
        </is>
      </c>
      <c r="B130" s="26" t="inlineStr">
        <is>
          <t>Análises</t>
        </is>
      </c>
      <c r="C130" s="26" t="inlineStr">
        <is>
          <t>Juro neutro</t>
        </is>
      </c>
      <c r="D130" s="27" t="inlineStr">
        <is>
          <t>Estimativas de neutro e hiato do BCB</t>
        </is>
      </c>
      <c r="E130" s="26" t="inlineStr">
        <is>
          <t>BCB RPM</t>
        </is>
      </c>
      <c r="F130" s="26" t="inlineStr">
        <is>
          <t>Manual (boxes do RPM)</t>
        </is>
      </c>
      <c r="G130" s="26" t="inlineStr">
        <is>
          <t>Trimestral</t>
        </is>
      </c>
      <c r="H130" s="26" t="inlineStr">
        <is>
          <t>%</t>
        </is>
      </c>
      <c r="I130" s="26" t="inlineStr">
        <is>
          <t>Taxa</t>
        </is>
      </c>
      <c r="J130" s="26" t="inlineStr">
        <is>
          <t>Nível, Δ p.p. (MoM, YoY, 3/6/12m)</t>
        </is>
      </c>
      <c r="K130" s="26" t="inlineStr">
        <is>
          <t>v2</t>
        </is>
      </c>
      <c r="L130" s="26" t="inlineStr">
        <is>
          <t>Curado</t>
        </is>
      </c>
      <c r="M130" s="26" t="inlineStr"/>
    </row>
    <row r="131">
      <c r="A131" s="25" t="inlineStr">
        <is>
          <t>BR-120</t>
        </is>
      </c>
      <c r="B131" s="26" t="inlineStr">
        <is>
          <t>Análises</t>
        </is>
      </c>
      <c r="C131" s="26" t="inlineStr">
        <is>
          <t>Modelos</t>
        </is>
      </c>
      <c r="D131" s="27" t="inlineStr">
        <is>
          <t>Regra de Taylor</t>
        </is>
      </c>
      <c r="E131" s="26" t="inlineStr">
        <is>
          <t>Argus</t>
        </is>
      </c>
      <c r="F131" s="26" t="inlineStr">
        <is>
          <t>f(neutro, hiato, IPCA, meta)</t>
        </is>
      </c>
      <c r="G131" s="26" t="inlineStr">
        <is>
          <t>Mensal</t>
        </is>
      </c>
      <c r="H131" s="26" t="inlineStr">
        <is>
          <t>% a.a.</t>
        </is>
      </c>
      <c r="I131" s="26" t="inlineStr">
        <is>
          <t>Derivado</t>
        </is>
      </c>
      <c r="J131" s="26" t="inlineStr">
        <is>
          <t>Conforme definição da fórmula</t>
        </is>
      </c>
      <c r="K131" s="26" t="inlineStr">
        <is>
          <t>v2</t>
        </is>
      </c>
      <c r="L131" s="26" t="inlineStr">
        <is>
          <t>Derivado</t>
        </is>
      </c>
      <c r="M131" s="26" t="inlineStr"/>
    </row>
    <row r="132">
      <c r="A132" s="25" t="inlineStr">
        <is>
          <t>BR-121</t>
        </is>
      </c>
      <c r="B132" s="26" t="inlineStr">
        <is>
          <t>Análises</t>
        </is>
      </c>
      <c r="C132" s="26" t="inlineStr">
        <is>
          <t>Modelos</t>
        </is>
      </c>
      <c r="D132" s="27" t="inlineStr">
        <is>
          <t>NAIRU e curva de Phillips</t>
        </is>
      </c>
      <c r="E132" s="26" t="inlineStr">
        <is>
          <t>Argus</t>
        </is>
      </c>
      <c r="F132" s="26" t="inlineStr">
        <is>
          <t>Modelo próprio</t>
        </is>
      </c>
      <c r="G132" s="26" t="inlineStr">
        <is>
          <t>Trimestral</t>
        </is>
      </c>
      <c r="H132" s="26" t="inlineStr">
        <is>
          <t>%</t>
        </is>
      </c>
      <c r="I132" s="26" t="inlineStr">
        <is>
          <t>Derivado</t>
        </is>
      </c>
      <c r="J132" s="26" t="inlineStr">
        <is>
          <t>Conforme definição da fórmula</t>
        </is>
      </c>
      <c r="K132" s="26" t="inlineStr">
        <is>
          <t>v2</t>
        </is>
      </c>
      <c r="L132" s="26" t="inlineStr">
        <is>
          <t>Derivado</t>
        </is>
      </c>
      <c r="M132" s="26" t="inlineStr">
        <is>
          <t>Documentar especificação</t>
        </is>
      </c>
    </row>
    <row r="133">
      <c r="A133" s="25" t="inlineStr">
        <is>
          <t>BR-122</t>
        </is>
      </c>
      <c r="B133" s="26" t="inlineStr">
        <is>
          <t>Análises</t>
        </is>
      </c>
      <c r="C133" s="26" t="inlineStr">
        <is>
          <t>Modelos</t>
        </is>
      </c>
      <c r="D133" s="27" t="inlineStr">
        <is>
          <t>Hiato do produto (próprio, BCB, IFI)</t>
        </is>
      </c>
      <c r="E133" s="26" t="inlineStr">
        <is>
          <t>Argus + BCB + IFI</t>
        </is>
      </c>
      <c r="F133" s="26" t="inlineStr">
        <is>
          <t>Modelo + manual</t>
        </is>
      </c>
      <c r="G133" s="26" t="inlineStr">
        <is>
          <t>Trimestral</t>
        </is>
      </c>
      <c r="H133" s="26" t="inlineStr">
        <is>
          <t>%</t>
        </is>
      </c>
      <c r="I133" s="26" t="inlineStr">
        <is>
          <t>Derivado</t>
        </is>
      </c>
      <c r="J133" s="26" t="inlineStr">
        <is>
          <t>Conforme definição da fórmula</t>
        </is>
      </c>
      <c r="K133" s="26" t="inlineStr">
        <is>
          <t>v2</t>
        </is>
      </c>
      <c r="L133" s="26" t="inlineStr">
        <is>
          <t>Derivado</t>
        </is>
      </c>
      <c r="M133" s="26" t="inlineStr"/>
    </row>
    <row r="134">
      <c r="A134" s="25" t="inlineStr">
        <is>
          <t>BR-123</t>
        </is>
      </c>
      <c r="B134" s="26" t="inlineStr">
        <is>
          <t>Análises</t>
        </is>
      </c>
      <c r="C134" s="26" t="inlineStr">
        <is>
          <t>Copom</t>
        </is>
      </c>
      <c r="D134" s="27" t="inlineStr">
        <is>
          <t>Diretores: mandato, indicação, votos por reunião</t>
        </is>
      </c>
      <c r="E134" s="26" t="inlineStr">
        <is>
          <t>BCB</t>
        </is>
      </c>
      <c r="F134" s="26" t="inlineStr">
        <is>
          <t>Curado</t>
        </is>
      </c>
      <c r="G134" s="26" t="inlineStr">
        <is>
          <t>Por reunião</t>
        </is>
      </c>
      <c r="H134" s="26" t="inlineStr">
        <is>
          <t>—</t>
        </is>
      </c>
      <c r="I134" s="26" t="inlineStr">
        <is>
          <t>Evento</t>
        </is>
      </c>
      <c r="J134" s="26" t="inlineStr">
        <is>
          <t>—</t>
        </is>
      </c>
      <c r="K134" s="26" t="inlineStr">
        <is>
          <t>v2</t>
        </is>
      </c>
      <c r="L134" s="26" t="inlineStr">
        <is>
          <t>Curado</t>
        </is>
      </c>
      <c r="M134" s="26" t="inlineStr"/>
    </row>
    <row r="135">
      <c r="A135" s="25" t="inlineStr">
        <is>
          <t>BR-124</t>
        </is>
      </c>
      <c r="B135" s="26" t="inlineStr">
        <is>
          <t>Análises</t>
        </is>
      </c>
      <c r="C135" s="26" t="inlineStr">
        <is>
          <t>Copom</t>
        </is>
      </c>
      <c r="D135" s="27" t="inlineStr">
        <is>
          <t>Tom de discursos por diretor (hawk/dove)</t>
        </is>
      </c>
      <c r="E135" s="26" t="inlineStr">
        <is>
          <t>BCB + imprensa</t>
        </is>
      </c>
      <c r="F135" s="26" t="inlineStr">
        <is>
          <t>Textos + LLM</t>
        </is>
      </c>
      <c r="G135" s="26" t="inlineStr">
        <is>
          <t>Por evento</t>
        </is>
      </c>
      <c r="H135" s="26" t="inlineStr">
        <is>
          <t>Escore</t>
        </is>
      </c>
      <c r="I135" s="26" t="inlineStr">
        <is>
          <t>Derivado</t>
        </is>
      </c>
      <c r="J135" s="26" t="inlineStr">
        <is>
          <t>Conforme definição da fórmula</t>
        </is>
      </c>
      <c r="K135" s="26" t="inlineStr">
        <is>
          <t>v3</t>
        </is>
      </c>
      <c r="L135" s="26" t="inlineStr">
        <is>
          <t>Derivado</t>
        </is>
      </c>
      <c r="M135" s="26" t="inlineStr">
        <is>
          <t>Exige metodologia validada; custo de API</t>
        </is>
      </c>
    </row>
    <row r="136">
      <c r="A136" s="25" t="inlineStr">
        <is>
          <t>BR-125</t>
        </is>
      </c>
      <c r="B136" s="26" t="inlineStr">
        <is>
          <t>Análises</t>
        </is>
      </c>
      <c r="C136" s="26" t="inlineStr">
        <is>
          <t>Análogos</t>
        </is>
      </c>
      <c r="D136" s="27" t="inlineStr">
        <is>
          <t>Busca de períodos históricos semelhantes</t>
        </is>
      </c>
      <c r="E136" s="26" t="inlineStr">
        <is>
          <t>Argus</t>
        </is>
      </c>
      <c r="F136" s="26" t="inlineStr">
        <is>
          <t>f(várias)</t>
        </is>
      </c>
      <c r="G136" s="26" t="inlineStr">
        <is>
          <t>—</t>
        </is>
      </c>
      <c r="H136" s="26" t="inlineStr">
        <is>
          <t>—</t>
        </is>
      </c>
      <c r="I136" s="26" t="inlineStr">
        <is>
          <t>Derivado</t>
        </is>
      </c>
      <c r="J136" s="26" t="inlineStr">
        <is>
          <t>Conforme definição da fórmula</t>
        </is>
      </c>
      <c r="K136" s="26" t="inlineStr">
        <is>
          <t>v2</t>
        </is>
      </c>
      <c r="L136" s="26" t="inlineStr">
        <is>
          <t>Derivado</t>
        </is>
      </c>
      <c r="M136" s="26" t="inlineStr"/>
    </row>
    <row r="137">
      <c r="A137" s="25" t="inlineStr">
        <is>
          <t>BR-132</t>
        </is>
      </c>
      <c r="B137" s="26" t="inlineStr">
        <is>
          <t>Política Monetária</t>
        </is>
      </c>
      <c r="C137" s="26" t="inlineStr">
        <is>
          <t>Expectativas</t>
        </is>
      </c>
      <c r="D137" s="27" t="inlineStr">
        <is>
          <t>Focus — Selic fim de ano (ano corrente a +3)</t>
        </is>
      </c>
      <c r="E137" s="26" t="inlineStr">
        <is>
          <t>BCB Olinda (Focus)</t>
        </is>
      </c>
      <c r="F137" s="26" t="inlineStr">
        <is>
          <t>ExpectativasMercadoAnuais · Indicador='Selic'</t>
        </is>
      </c>
      <c r="G137" s="26" t="inlineStr">
        <is>
          <t>Semanal</t>
        </is>
      </c>
      <c r="H137" s="26" t="inlineStr">
        <is>
          <t>% a.a.</t>
        </is>
      </c>
      <c r="I137" s="26" t="inlineStr">
        <is>
          <t>Taxa</t>
        </is>
      </c>
      <c r="J137" s="26" t="inlineStr">
        <is>
          <t>Nível, Δ p.p. (MoM, YoY, 3/6/12m)</t>
        </is>
      </c>
      <c r="K137" s="26" t="inlineStr">
        <is>
          <t>MVP</t>
        </is>
      </c>
      <c r="L137" s="26" t="inlineStr">
        <is>
          <t>Verificado</t>
        </is>
      </c>
      <c r="M137" s="26" t="inlineStr">
        <is>
          <t>Insumo do juro neutro implícito (BR-117); sub-série por ano de referência; validador 2026-10-04: última pesquisa 2026-09-25</t>
        </is>
      </c>
    </row>
    <row r="138">
      <c r="A138" s="25" t="inlineStr">
        <is>
          <t>BR-133</t>
        </is>
      </c>
      <c r="B138" s="26" t="inlineStr">
        <is>
          <t>Mercado de Trabalho</t>
        </is>
      </c>
      <c r="C138" s="26" t="inlineStr">
        <is>
          <t>Formal</t>
        </is>
      </c>
      <c r="D138" s="27" t="inlineStr">
        <is>
          <t>Saldo mensal do Novo CAGED (variação do estoque)</t>
        </is>
      </c>
      <c r="E138" s="26" t="inlineStr">
        <is>
          <t>Argus</t>
        </is>
      </c>
      <c r="F138" s="26" t="inlineStr">
        <is>
          <t>Δ(28763)</t>
        </is>
      </c>
      <c r="G138" s="26" t="inlineStr">
        <is>
          <t>Mensal</t>
        </is>
      </c>
      <c r="H138" s="26" t="inlineStr">
        <is>
          <t>Postos</t>
        </is>
      </c>
      <c r="I138" s="26" t="inlineStr">
        <is>
          <t>Derivado</t>
        </is>
      </c>
      <c r="J138" s="26" t="inlineStr">
        <is>
          <t>Nível, soma 3/12m, MoM % (SA), YoY %, real/nominal, % PIB</t>
        </is>
      </c>
      <c r="K138" s="26" t="inlineStr">
        <is>
          <t>MVP</t>
        </is>
      </c>
      <c r="L138" s="26" t="inlineStr">
        <is>
          <t>Derivado</t>
        </is>
      </c>
      <c r="M138" s="26" t="inlineStr">
        <is>
          <t>Variação mensal do estoque BR-022; só entre meses consecutivos</t>
        </is>
      </c>
    </row>
    <row r="139">
      <c r="A139" s="25" t="inlineStr">
        <is>
          <t>BR-134</t>
        </is>
      </c>
      <c r="B139" s="26" t="inlineStr">
        <is>
          <t>Inflação</t>
        </is>
      </c>
      <c r="C139" s="26" t="inlineStr">
        <is>
          <t>Cheio</t>
        </is>
      </c>
      <c r="D139" s="27" t="inlineStr">
        <is>
          <t>Meta para a inflação (CMN)</t>
        </is>
      </c>
      <c r="E139" s="26" t="inlineStr">
        <is>
          <t>BCB SGS</t>
        </is>
      </c>
      <c r="F139" s="26" t="inlineStr">
        <is>
          <t>13521</t>
        </is>
      </c>
      <c r="G139" s="26" t="inlineStr">
        <is>
          <t>Anual</t>
        </is>
      </c>
      <c r="H139" s="26" t="inlineStr">
        <is>
          <t>%</t>
        </is>
      </c>
      <c r="I139" s="26" t="inlineStr">
        <is>
          <t>Taxa</t>
        </is>
      </c>
      <c r="J139" s="26" t="inlineStr">
        <is>
          <t>Nível</t>
        </is>
      </c>
      <c r="K139" s="26" t="inlineStr">
        <is>
          <t>MVP</t>
        </is>
      </c>
      <c r="L139" s="26" t="inlineStr">
        <is>
          <t>Verificado</t>
        </is>
      </c>
      <c r="M139" s="26" t="inlineStr">
        <is>
          <t>Título oficial 'Meta para a inflação' conferido em 2026-10-15; valor central do ano (o intervalo de tolerância não está no SGS). Insumo da regra de Taylor e do desvio da meta</t>
        </is>
      </c>
    </row>
    <row r="140">
      <c r="A140" s="25" t="inlineStr">
        <is>
          <t>BR-135</t>
        </is>
      </c>
      <c r="B140" s="26" t="inlineStr">
        <is>
          <t>Inflação</t>
        </is>
      </c>
      <c r="C140" s="26" t="inlineStr">
        <is>
          <t>Aberturas</t>
        </is>
      </c>
      <c r="D140" s="27" t="inlineStr">
        <is>
          <t>IPCA — Comercializáveis (tradables)</t>
        </is>
      </c>
      <c r="E140" s="26" t="inlineStr">
        <is>
          <t>BCB SGS</t>
        </is>
      </c>
      <c r="F140" s="26" t="inlineStr">
        <is>
          <t>4447</t>
        </is>
      </c>
      <c r="G140" s="26" t="inlineStr">
        <is>
          <t>Mensal</t>
        </is>
      </c>
      <c r="H140" s="26" t="inlineStr">
        <is>
          <t>% m/m</t>
        </is>
      </c>
      <c r="I140" s="26" t="inlineStr">
        <is>
          <t>Var % mensal</t>
        </is>
      </c>
      <c r="J140" s="26" t="inlineStr">
        <is>
          <t>Mensal, acum. 3/6/9/12m (encadeado), 3m/6m anualizado, YoY via 12m</t>
        </is>
      </c>
      <c r="K140" s="26" t="inlineStr">
        <is>
          <t>MVP</t>
        </is>
      </c>
      <c r="L140" s="26" t="inlineStr">
        <is>
          <t>Verificado</t>
        </is>
      </c>
      <c r="M140" s="26" t="inlineStr">
        <is>
          <t>Classificação do BCB; título oficial conferido no SGS em 2026-10-15. Preços formados no mercado internacional; reagem a câmbio e commodities</t>
        </is>
      </c>
    </row>
    <row r="141">
      <c r="A141" s="25" t="inlineStr">
        <is>
          <t>BR-136</t>
        </is>
      </c>
      <c r="B141" s="26" t="inlineStr">
        <is>
          <t>Inflação</t>
        </is>
      </c>
      <c r="C141" s="26" t="inlineStr">
        <is>
          <t>Aberturas</t>
        </is>
      </c>
      <c r="D141" s="27" t="inlineStr">
        <is>
          <t>IPCA — Não comercializáveis</t>
        </is>
      </c>
      <c r="E141" s="26" t="inlineStr">
        <is>
          <t>BCB SGS</t>
        </is>
      </c>
      <c r="F141" s="26" t="inlineStr">
        <is>
          <t>4448</t>
        </is>
      </c>
      <c r="G141" s="26" t="inlineStr">
        <is>
          <t>Mensal</t>
        </is>
      </c>
      <c r="H141" s="26" t="inlineStr">
        <is>
          <t>% m/m</t>
        </is>
      </c>
      <c r="I141" s="26" t="inlineStr">
        <is>
          <t>Var % mensal</t>
        </is>
      </c>
      <c r="J141" s="26" t="inlineStr">
        <is>
          <t>Mensal, acum. 3/6/9/12m (encadeado), 3m/6m anualizado, YoY via 12m</t>
        </is>
      </c>
      <c r="K141" s="26" t="inlineStr">
        <is>
          <t>MVP</t>
        </is>
      </c>
      <c r="L141" s="26" t="inlineStr">
        <is>
          <t>Verificado</t>
        </is>
      </c>
      <c r="M141" s="26" t="inlineStr">
        <is>
          <t>Classificação do BCB; título oficial conferido no SGS em 2026-10-15. Preços formados no mercado doméstico; reagem a renda e demanda interna</t>
        </is>
      </c>
    </row>
    <row r="142">
      <c r="A142" s="25" t="inlineStr">
        <is>
          <t>BR-137</t>
        </is>
      </c>
      <c r="B142" s="26" t="inlineStr">
        <is>
          <t>Inflação</t>
        </is>
      </c>
      <c r="C142" s="26" t="inlineStr">
        <is>
          <t>Aberturas</t>
        </is>
      </c>
      <c r="D142" s="27" t="inlineStr">
        <is>
          <t>IPCA — Bens duráveis</t>
        </is>
      </c>
      <c r="E142" s="26" t="inlineStr">
        <is>
          <t>BCB SGS</t>
        </is>
      </c>
      <c r="F142" s="26" t="inlineStr">
        <is>
          <t>10843</t>
        </is>
      </c>
      <c r="G142" s="26" t="inlineStr">
        <is>
          <t>Mensal</t>
        </is>
      </c>
      <c r="H142" s="26" t="inlineStr">
        <is>
          <t>% m/m</t>
        </is>
      </c>
      <c r="I142" s="26" t="inlineStr">
        <is>
          <t>Var % mensal</t>
        </is>
      </c>
      <c r="J142" s="26" t="inlineStr">
        <is>
          <t>Mensal, acum. 3/6/9/12m (encadeado), 3m/6m anualizado, YoY via 12m</t>
        </is>
      </c>
      <c r="K142" s="26" t="inlineStr">
        <is>
          <t>MVP</t>
        </is>
      </c>
      <c r="L142" s="26" t="inlineStr">
        <is>
          <t>Verificado</t>
        </is>
      </c>
      <c r="M142" s="26" t="inlineStr">
        <is>
          <t>Classificação do BCB; título oficial conferido no SGS em 2026-10-15. Compras em geral financiadas (veículos, eletrodomésticos); sensíveis a crédito, juros e câmbio</t>
        </is>
      </c>
    </row>
    <row r="143">
      <c r="A143" s="25" t="inlineStr">
        <is>
          <t>BR-138</t>
        </is>
      </c>
      <c r="B143" s="26" t="inlineStr">
        <is>
          <t>Inflação</t>
        </is>
      </c>
      <c r="C143" s="26" t="inlineStr">
        <is>
          <t>Aberturas</t>
        </is>
      </c>
      <c r="D143" s="27" t="inlineStr">
        <is>
          <t>IPCA — Bens semiduráveis</t>
        </is>
      </c>
      <c r="E143" s="26" t="inlineStr">
        <is>
          <t>BCB SGS</t>
        </is>
      </c>
      <c r="F143" s="26" t="inlineStr">
        <is>
          <t>10842</t>
        </is>
      </c>
      <c r="G143" s="26" t="inlineStr">
        <is>
          <t>Mensal</t>
        </is>
      </c>
      <c r="H143" s="26" t="inlineStr">
        <is>
          <t>% m/m</t>
        </is>
      </c>
      <c r="I143" s="26" t="inlineStr">
        <is>
          <t>Var % mensal</t>
        </is>
      </c>
      <c r="J143" s="26" t="inlineStr">
        <is>
          <t>Mensal, acum. 3/6/9/12m (encadeado), 3m/6m anualizado, YoY via 12m</t>
        </is>
      </c>
      <c r="K143" s="26" t="inlineStr">
        <is>
          <t>MVP</t>
        </is>
      </c>
      <c r="L143" s="26" t="inlineStr">
        <is>
          <t>Verificado</t>
        </is>
      </c>
      <c r="M143" s="26" t="inlineStr">
        <is>
          <t>Classificação do BCB; título oficial conferido no SGS em 2026-10-15. Vestuário, calçados e similares</t>
        </is>
      </c>
    </row>
    <row r="144">
      <c r="A144" s="25" t="inlineStr">
        <is>
          <t>BR-139</t>
        </is>
      </c>
      <c r="B144" s="26" t="inlineStr">
        <is>
          <t>Inflação</t>
        </is>
      </c>
      <c r="C144" s="26" t="inlineStr">
        <is>
          <t>Aberturas</t>
        </is>
      </c>
      <c r="D144" s="27" t="inlineStr">
        <is>
          <t>IPCA — Bens não duráveis</t>
        </is>
      </c>
      <c r="E144" s="26" t="inlineStr">
        <is>
          <t>BCB SGS</t>
        </is>
      </c>
      <c r="F144" s="26" t="inlineStr">
        <is>
          <t>10841</t>
        </is>
      </c>
      <c r="G144" s="26" t="inlineStr">
        <is>
          <t>Mensal</t>
        </is>
      </c>
      <c r="H144" s="26" t="inlineStr">
        <is>
          <t>% m/m</t>
        </is>
      </c>
      <c r="I144" s="26" t="inlineStr">
        <is>
          <t>Var % mensal</t>
        </is>
      </c>
      <c r="J144" s="26" t="inlineStr">
        <is>
          <t>Mensal, acum. 3/6/9/12m (encadeado), 3m/6m anualizado, YoY via 12m</t>
        </is>
      </c>
      <c r="K144" s="26" t="inlineStr">
        <is>
          <t>MVP</t>
        </is>
      </c>
      <c r="L144" s="26" t="inlineStr">
        <is>
          <t>Verificado</t>
        </is>
      </c>
      <c r="M144" s="26" t="inlineStr">
        <is>
          <t>Classificação do BCB; título oficial conferido no SGS em 2026-10-15. Alimentos, higiene, combustíveis e similares</t>
        </is>
      </c>
    </row>
    <row r="145">
      <c r="A145" s="25" t="inlineStr">
        <is>
          <t>BR-140</t>
        </is>
      </c>
      <c r="B145" s="26" t="inlineStr">
        <is>
          <t>Central</t>
        </is>
      </c>
      <c r="C145" s="26" t="inlineStr">
        <is>
          <t>Notícias</t>
        </is>
      </c>
      <c r="D145" s="27" t="inlineStr">
        <is>
          <t>Notícias oficiais: BCB (notas e notícias), IBGE e Fed</t>
        </is>
      </c>
      <c r="E145" s="26" t="inlineStr">
        <is>
          <t>RSS oficial</t>
        </is>
      </c>
      <c r="F145" s="26" t="inlineStr">
        <is>
          <t>bcb_notas ; bcb_noticias ; ibge ; fed</t>
        </is>
      </c>
      <c r="G145" s="26" t="inlineStr">
        <is>
          <t>Contínua</t>
        </is>
      </c>
      <c r="H145" s="26" t="inlineStr">
        <is>
          <t>Texto</t>
        </is>
      </c>
      <c r="I145" s="26" t="inlineStr">
        <is>
          <t>Texto</t>
        </is>
      </c>
      <c r="J145" s="26" t="inlineStr">
        <is>
          <t>—</t>
        </is>
      </c>
      <c r="K145" s="26" t="inlineStr">
        <is>
          <t>MVP</t>
        </is>
      </c>
      <c r="L145" s="26" t="inlineStr">
        <is>
          <t>Verificado</t>
        </is>
      </c>
      <c r="M145" s="26" t="inlineStr">
        <is>
          <t>Feeds RSS/Atom oficiais (BCB sitefeeds, Agência IBGE, Federal Reserve press_monetary); título e resumo em texto puro na tabela events (tipo noticia); fixtures reais gravadas em 2026-10-19</t>
        </is>
      </c>
    </row>
    <row r="146">
      <c r="A146" s="25" t="inlineStr">
        <is>
          <t>BR-141</t>
        </is>
      </c>
      <c r="B146" s="26" t="inlineStr">
        <is>
          <t>Central</t>
        </is>
      </c>
      <c r="C146" s="26" t="inlineStr">
        <is>
          <t>Agenda</t>
        </is>
      </c>
      <c r="D146" s="27" t="inlineStr">
        <is>
          <t>Agenda de divulgações do IBGE (IPCA, IPCA-15, PNAD, PIM, PMC, PMS, PIB, LSPA)</t>
        </is>
      </c>
      <c r="E146" s="26" t="inlineStr">
        <is>
          <t>IBGE calendário (servicodados v3)</t>
        </is>
      </c>
      <c r="F146" s="26" t="inlineStr">
        <is>
          <t>calendario</t>
        </is>
      </c>
      <c r="G146" s="26" t="inlineStr">
        <is>
          <t>Contínua</t>
        </is>
      </c>
      <c r="H146" s="26" t="inlineStr">
        <is>
          <t>Data</t>
        </is>
      </c>
      <c r="I146" s="26" t="inlineStr">
        <is>
          <t>Evento</t>
        </is>
      </c>
      <c r="J146" s="26" t="inlineStr">
        <is>
          <t>—</t>
        </is>
      </c>
      <c r="K146" s="26" t="inlineStr">
        <is>
          <t>MVP</t>
        </is>
      </c>
      <c r="L146" s="26" t="inlineStr">
        <is>
          <t>Verificado</t>
        </is>
      </c>
      <c r="M146" s="26" t="inlineStr">
        <is>
          <t>API oficial de calendário do IBGE (servicodados/api/v3/calendario), janela de 120 dias; resposta real gravada em 2026-10-19; vai para a tabela events (tipo agenda)</t>
        </is>
      </c>
    </row>
  </sheetData>
  <autoFilter ref="A5:M146"/>
  <conditionalFormatting sqref="L6:L346">
    <cfRule type="expression" priority="1" dxfId="0">
      <formula>$L6="Verificado"</formula>
    </cfRule>
    <cfRule type="expression" priority="2" dxfId="1">
      <formula>$L6="Confirmar"</formula>
    </cfRule>
    <cfRule type="expression" priority="3" dxfId="2">
      <formula>$L6="A mapear"</formula>
    </cfRule>
    <cfRule type="expression" priority="4" dxfId="3">
      <formula>$L6="Sem API"</formula>
    </cfRule>
    <cfRule type="expression" priority="5" dxfId="4">
      <formula>$L6="Pago"</formula>
    </cfRule>
    <cfRule type="expression" priority="6" dxfId="5">
      <formula>$L6="Derivado"</formula>
    </cfRule>
    <cfRule type="expression" priority="7" dxfId="6">
      <formula>$L6="Curado"</formula>
    </cfRule>
  </conditionalFormatting>
  <conditionalFormatting sqref="K6:K346">
    <cfRule type="expression" priority="8" dxfId="7">
      <formula>$K6="MVP"</formula>
    </cfRule>
  </conditionalFormatting>
  <dataValidations count="2">
    <dataValidation sqref="K6:K346" showDropDown="0" showInputMessage="0" showErrorMessage="0" allowBlank="1" type="list">
      <formula1>"MVP,EUA,v2,v3"</formula1>
    </dataValidation>
    <dataValidation sqref="L6:L346" showDropDown="0" showInputMessage="0" showErrorMessage="0" allowBlank="1" type="list">
      <formula1>"Verificado,Confirmar,A mapear,Sem API,Pago,Derivado,Curado"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42" customWidth="1" min="4" max="4"/>
    <col width="20" customWidth="1" min="5" max="5"/>
    <col width="30" customWidth="1" min="6" max="6"/>
    <col width="14" customWidth="1" min="7" max="7"/>
    <col width="11" customWidth="1" min="8" max="8"/>
    <col width="12" customWidth="1" min="9" max="9"/>
    <col width="34" customWidth="1" min="10" max="10"/>
    <col width="7" customWidth="1" min="11" max="11"/>
    <col width="12" customWidth="1" min="12" max="12"/>
    <col width="40" customWidth="1" min="13" max="13"/>
  </cols>
  <sheetData>
    <row r="1" ht="26" customHeight="1">
      <c r="A1" s="1" t="inlineStr">
        <is>
          <t>EUA — catálogo de séries</t>
        </is>
      </c>
    </row>
    <row r="2">
      <c r="A2" s="2" t="inlineStr">
        <is>
          <t>Mapeamento da planilha original de dados US para fonte e código.</t>
        </is>
      </c>
    </row>
    <row r="3" ht="3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5" ht="28" customHeight="1">
      <c r="A5" s="24" t="inlineStr">
        <is>
          <t>ID</t>
        </is>
      </c>
      <c r="B5" s="24" t="inlineStr">
        <is>
          <t>Aba</t>
        </is>
      </c>
      <c r="C5" s="24" t="inlineStr">
        <is>
          <t>Bloco</t>
        </is>
      </c>
      <c r="D5" s="24" t="inlineStr">
        <is>
          <t>Indicador</t>
        </is>
      </c>
      <c r="E5" s="24" t="inlineStr">
        <is>
          <t>Fonte</t>
        </is>
      </c>
      <c r="F5" s="24" t="inlineStr">
        <is>
          <t>Código / endpoint</t>
        </is>
      </c>
      <c r="G5" s="24" t="inlineStr">
        <is>
          <t>Frequência</t>
        </is>
      </c>
      <c r="H5" s="24" t="inlineStr">
        <is>
          <t>Unidade</t>
        </is>
      </c>
      <c r="I5" s="24" t="inlineStr">
        <is>
          <t>Tipo</t>
        </is>
      </c>
      <c r="J5" s="24" t="inlineStr">
        <is>
          <t>Transformações válidas</t>
        </is>
      </c>
      <c r="K5" s="24" t="inlineStr">
        <is>
          <t>Fase</t>
        </is>
      </c>
      <c r="L5" s="24" t="inlineStr">
        <is>
          <t>Status</t>
        </is>
      </c>
      <c r="M5" s="24" t="inlineStr">
        <is>
          <t>Observação</t>
        </is>
      </c>
    </row>
    <row r="6">
      <c r="A6" s="25" t="inlineStr">
        <is>
          <t>US-001</t>
        </is>
      </c>
      <c r="B6" s="26" t="inlineStr">
        <is>
          <t>Mercado de Trabalho</t>
        </is>
      </c>
      <c r="C6" s="26" t="inlineStr">
        <is>
          <t>Payroll</t>
        </is>
      </c>
      <c r="D6" s="27" t="inlineStr">
        <is>
          <t>Non-farm Payrolls</t>
        </is>
      </c>
      <c r="E6" s="26" t="inlineStr">
        <is>
          <t>FRED (BLS)</t>
        </is>
      </c>
      <c r="F6" s="26" t="inlineStr">
        <is>
          <t>PAYEMS</t>
        </is>
      </c>
      <c r="G6" s="26" t="inlineStr">
        <is>
          <t>Mensal</t>
        </is>
      </c>
      <c r="H6" s="26" t="inlineStr">
        <is>
          <t>Mil</t>
        </is>
      </c>
      <c r="I6" s="26" t="inlineStr">
        <is>
          <t>Estoque</t>
        </is>
      </c>
      <c r="J6" s="26" t="inlineStr">
        <is>
          <t>Nível, MoM %, YoY %, real/nominal, % PIB</t>
        </is>
      </c>
      <c r="K6" s="26" t="inlineStr">
        <is>
          <t>EUA</t>
        </is>
      </c>
      <c r="L6" s="26" t="inlineStr">
        <is>
          <t>Verificado</t>
        </is>
      </c>
      <c r="M6" s="26" t="inlineStr"/>
    </row>
    <row r="7">
      <c r="A7" s="25" t="inlineStr">
        <is>
          <t>US-002</t>
        </is>
      </c>
      <c r="B7" s="26" t="inlineStr">
        <is>
          <t>Mercado de Trabalho</t>
        </is>
      </c>
      <c r="C7" s="26" t="inlineStr">
        <is>
          <t>Desemprego</t>
        </is>
      </c>
      <c r="D7" s="27" t="inlineStr">
        <is>
          <t>Unemployment Rate (U3)</t>
        </is>
      </c>
      <c r="E7" s="26" t="inlineStr">
        <is>
          <t>FRED (BLS)</t>
        </is>
      </c>
      <c r="F7" s="26" t="inlineStr">
        <is>
          <t>UNRATE</t>
        </is>
      </c>
      <c r="G7" s="26" t="inlineStr">
        <is>
          <t>Mensal</t>
        </is>
      </c>
      <c r="H7" s="26" t="inlineStr">
        <is>
          <t>%</t>
        </is>
      </c>
      <c r="I7" s="26" t="inlineStr">
        <is>
          <t>Taxa</t>
        </is>
      </c>
      <c r="J7" s="26" t="inlineStr">
        <is>
          <t>Nível, Δ p.p. (MoM, YoY, 3/6/12m)</t>
        </is>
      </c>
      <c r="K7" s="26" t="inlineStr">
        <is>
          <t>EUA</t>
        </is>
      </c>
      <c r="L7" s="26" t="inlineStr">
        <is>
          <t>Verificado</t>
        </is>
      </c>
      <c r="M7" s="26" t="inlineStr"/>
    </row>
    <row r="8">
      <c r="A8" s="25" t="inlineStr">
        <is>
          <t>US-003</t>
        </is>
      </c>
      <c r="B8" s="26" t="inlineStr">
        <is>
          <t>Mercado de Trabalho</t>
        </is>
      </c>
      <c r="C8" s="26" t="inlineStr">
        <is>
          <t>Desemprego</t>
        </is>
      </c>
      <c r="D8" s="27" t="inlineStr">
        <is>
          <t>Unemployment Breakdown (U6, demografia)</t>
        </is>
      </c>
      <c r="E8" s="26" t="inlineStr">
        <is>
          <t>FRED (BLS)</t>
        </is>
      </c>
      <c r="F8" s="26" t="inlineStr">
        <is>
          <t>U6RATE + séries LNS140000xx</t>
        </is>
      </c>
      <c r="G8" s="26" t="inlineStr">
        <is>
          <t>Mensal</t>
        </is>
      </c>
      <c r="H8" s="26" t="inlineStr">
        <is>
          <t>%</t>
        </is>
      </c>
      <c r="I8" s="26" t="inlineStr">
        <is>
          <t>Taxa</t>
        </is>
      </c>
      <c r="J8" s="26" t="inlineStr">
        <is>
          <t>Nível, Δ p.p. (MoM, YoY, 3/6/12m)</t>
        </is>
      </c>
      <c r="K8" s="26" t="inlineStr">
        <is>
          <t>EUA</t>
        </is>
      </c>
      <c r="L8" s="26" t="inlineStr">
        <is>
          <t>Verificado</t>
        </is>
      </c>
      <c r="M8" s="26" t="inlineStr"/>
    </row>
    <row r="9">
      <c r="A9" s="25" t="inlineStr">
        <is>
          <t>US-004</t>
        </is>
      </c>
      <c r="B9" s="26" t="inlineStr">
        <is>
          <t>Mercado de Trabalho</t>
        </is>
      </c>
      <c r="C9" s="26" t="inlineStr">
        <is>
          <t>Participação</t>
        </is>
      </c>
      <c r="D9" s="27" t="inlineStr">
        <is>
          <t>Labour Force Participation (total e 25–54)</t>
        </is>
      </c>
      <c r="E9" s="26" t="inlineStr">
        <is>
          <t>FRED (BLS)</t>
        </is>
      </c>
      <c r="F9" s="26" t="inlineStr">
        <is>
          <t>CIVPART / LNS11300060</t>
        </is>
      </c>
      <c r="G9" s="26" t="inlineStr">
        <is>
          <t>Mensal</t>
        </is>
      </c>
      <c r="H9" s="26" t="inlineStr">
        <is>
          <t>%</t>
        </is>
      </c>
      <c r="I9" s="26" t="inlineStr">
        <is>
          <t>Taxa</t>
        </is>
      </c>
      <c r="J9" s="26" t="inlineStr">
        <is>
          <t>Nível, Δ p.p. (MoM, YoY, 3/6/12m)</t>
        </is>
      </c>
      <c r="K9" s="26" t="inlineStr">
        <is>
          <t>EUA</t>
        </is>
      </c>
      <c r="L9" s="26" t="inlineStr">
        <is>
          <t>Verificado</t>
        </is>
      </c>
      <c r="M9" s="26" t="inlineStr"/>
    </row>
    <row r="10">
      <c r="A10" s="25" t="inlineStr">
        <is>
          <t>US-005</t>
        </is>
      </c>
      <c r="B10" s="26" t="inlineStr">
        <is>
          <t>Mercado de Trabalho</t>
        </is>
      </c>
      <c r="C10" s="26" t="inlineStr">
        <is>
          <t>JOLTS</t>
        </is>
      </c>
      <c r="D10" s="27" t="inlineStr">
        <is>
          <t>Job Openings to Unemployed Ratio</t>
        </is>
      </c>
      <c r="E10" s="26" t="inlineStr">
        <is>
          <t>Argus</t>
        </is>
      </c>
      <c r="F10" s="26" t="inlineStr">
        <is>
          <t>JTSJOL / UNEMPLOY</t>
        </is>
      </c>
      <c r="G10" s="26" t="inlineStr">
        <is>
          <t>Mensal</t>
        </is>
      </c>
      <c r="H10" s="26" t="inlineStr">
        <is>
          <t>x</t>
        </is>
      </c>
      <c r="I10" s="26" t="inlineStr">
        <is>
          <t>Derivado</t>
        </is>
      </c>
      <c r="J10" s="26" t="inlineStr">
        <is>
          <t>Conforme definição da fórmula</t>
        </is>
      </c>
      <c r="K10" s="26" t="inlineStr">
        <is>
          <t>EUA</t>
        </is>
      </c>
      <c r="L10" s="26" t="inlineStr">
        <is>
          <t>Derivado</t>
        </is>
      </c>
      <c r="M10" s="26" t="inlineStr"/>
    </row>
    <row r="11">
      <c r="A11" s="25" t="inlineStr">
        <is>
          <t>US-006</t>
        </is>
      </c>
      <c r="B11" s="26" t="inlineStr">
        <is>
          <t>Mercado de Trabalho</t>
        </is>
      </c>
      <c r="C11" s="26" t="inlineStr">
        <is>
          <t>JOLTS</t>
        </is>
      </c>
      <c r="D11" s="27" t="inlineStr">
        <is>
          <t>JOLTS Openings, Hires, Quits, Layoffs</t>
        </is>
      </c>
      <c r="E11" s="26" t="inlineStr">
        <is>
          <t>FRED (BLS)</t>
        </is>
      </c>
      <c r="F11" s="26" t="inlineStr">
        <is>
          <t>JTSJOL / JTSHIL / JTSQUL / JTSLDL</t>
        </is>
      </c>
      <c r="G11" s="26" t="inlineStr">
        <is>
          <t>Mensal</t>
        </is>
      </c>
      <c r="H11" s="26" t="inlineStr">
        <is>
          <t>Mil</t>
        </is>
      </c>
      <c r="I11" s="26" t="inlineStr">
        <is>
          <t>Fluxo</t>
        </is>
      </c>
      <c r="J11" s="26" t="inlineStr">
        <is>
          <t>Nível, soma 3/12m, MoM % (SA), YoY %, real/nominal, % PIB</t>
        </is>
      </c>
      <c r="K11" s="26" t="inlineStr">
        <is>
          <t>EUA</t>
        </is>
      </c>
      <c r="L11" s="26" t="inlineStr">
        <is>
          <t>Verificado</t>
        </is>
      </c>
      <c r="M11" s="26" t="inlineStr"/>
    </row>
    <row r="12">
      <c r="A12" s="25" t="inlineStr">
        <is>
          <t>US-007</t>
        </is>
      </c>
      <c r="B12" s="26" t="inlineStr">
        <is>
          <t>Mercado de Trabalho</t>
        </is>
      </c>
      <c r="C12" s="26" t="inlineStr">
        <is>
          <t>Claims</t>
        </is>
      </c>
      <c r="D12" s="27" t="inlineStr">
        <is>
          <t>Jobless Claims (Initial &amp; Continuing)</t>
        </is>
      </c>
      <c r="E12" s="26" t="inlineStr">
        <is>
          <t>FRED (DOL)</t>
        </is>
      </c>
      <c r="F12" s="26" t="inlineStr">
        <is>
          <t>ICSA / CCSA</t>
        </is>
      </c>
      <c r="G12" s="26" t="inlineStr">
        <is>
          <t>Semanal</t>
        </is>
      </c>
      <c r="H12" s="26" t="inlineStr">
        <is>
          <t>Mil</t>
        </is>
      </c>
      <c r="I12" s="26" t="inlineStr">
        <is>
          <t>Fluxo</t>
        </is>
      </c>
      <c r="J12" s="26" t="inlineStr">
        <is>
          <t>Nível, soma 3/12m, MoM % (SA), YoY %, real/nominal, % PIB</t>
        </is>
      </c>
      <c r="K12" s="26" t="inlineStr">
        <is>
          <t>EUA</t>
        </is>
      </c>
      <c r="L12" s="26" t="inlineStr">
        <is>
          <t>Verificado</t>
        </is>
      </c>
      <c r="M12" s="26" t="inlineStr"/>
    </row>
    <row r="13">
      <c r="A13" s="25" t="inlineStr">
        <is>
          <t>US-008</t>
        </is>
      </c>
      <c r="B13" s="26" t="inlineStr">
        <is>
          <t>Mercado de Trabalho</t>
        </is>
      </c>
      <c r="C13" s="26" t="inlineStr">
        <is>
          <t>Pesquisas</t>
        </is>
      </c>
      <c r="D13" s="27" t="inlineStr">
        <is>
          <t>Jobs Hard to Find (Conference Board)</t>
        </is>
      </c>
      <c r="E13" s="26" t="inlineStr">
        <is>
          <t>Conference Board</t>
        </is>
      </c>
      <c r="F13" s="26" t="inlineStr">
        <is>
          <t>—</t>
        </is>
      </c>
      <c r="G13" s="26" t="inlineStr">
        <is>
          <t>Mensal</t>
        </is>
      </c>
      <c r="H13" s="26" t="inlineStr">
        <is>
          <t>%</t>
        </is>
      </c>
      <c r="I13" s="26" t="inlineStr">
        <is>
          <t>Taxa</t>
        </is>
      </c>
      <c r="J13" s="26" t="inlineStr">
        <is>
          <t>Nível, Δ p.p. (MoM, YoY, 3/6/12m)</t>
        </is>
      </c>
      <c r="K13" s="26" t="inlineStr">
        <is>
          <t>v2</t>
        </is>
      </c>
      <c r="L13" s="26" t="inlineStr">
        <is>
          <t>Pago</t>
        </is>
      </c>
      <c r="M13" s="26" t="inlineStr">
        <is>
          <t>Proxy gratuita: nenhuma equivalente direta</t>
        </is>
      </c>
    </row>
    <row r="14">
      <c r="A14" s="25" t="inlineStr">
        <is>
          <t>US-009</t>
        </is>
      </c>
      <c r="B14" s="26" t="inlineStr">
        <is>
          <t>Mercado de Trabalho</t>
        </is>
      </c>
      <c r="C14" s="26" t="inlineStr">
        <is>
          <t>Pesquisas</t>
        </is>
      </c>
      <c r="D14" s="27" t="inlineStr">
        <is>
          <t>NFIB Job Openings Hard to Fill / Hiring Plans</t>
        </is>
      </c>
      <c r="E14" s="26" t="inlineStr">
        <is>
          <t>NFIB</t>
        </is>
      </c>
      <c r="F14" s="26" t="inlineStr">
        <is>
          <t>Relatório mensal (PDF)</t>
        </is>
      </c>
      <c r="G14" s="26" t="inlineStr">
        <is>
          <t>Mensal</t>
        </is>
      </c>
      <c r="H14" s="26" t="inlineStr">
        <is>
          <t>%</t>
        </is>
      </c>
      <c r="I14" s="26" t="inlineStr">
        <is>
          <t>Taxa</t>
        </is>
      </c>
      <c r="J14" s="26" t="inlineStr">
        <is>
          <t>Nível, Δ p.p. (MoM, YoY, 3/6/12m)</t>
        </is>
      </c>
      <c r="K14" s="26" t="inlineStr">
        <is>
          <t>v2</t>
        </is>
      </c>
      <c r="L14" s="26" t="inlineStr">
        <is>
          <t>Sem API</t>
        </is>
      </c>
      <c r="M14" s="26" t="inlineStr"/>
    </row>
    <row r="15">
      <c r="A15" s="25" t="inlineStr">
        <is>
          <t>US-010</t>
        </is>
      </c>
      <c r="B15" s="26" t="inlineStr">
        <is>
          <t>Mercado de Trabalho</t>
        </is>
      </c>
      <c r="C15" s="26" t="inlineStr">
        <is>
          <t>Indicadores</t>
        </is>
      </c>
      <c r="D15" s="27" t="inlineStr">
        <is>
          <t>Beveridge Curve</t>
        </is>
      </c>
      <c r="E15" s="26" t="inlineStr">
        <is>
          <t>Argus</t>
        </is>
      </c>
      <c r="F15" s="26" t="inlineStr">
        <is>
          <t>UNRATE × JTSJOR</t>
        </is>
      </c>
      <c r="G15" s="26" t="inlineStr">
        <is>
          <t>Mensal</t>
        </is>
      </c>
      <c r="H15" s="26" t="inlineStr">
        <is>
          <t>%</t>
        </is>
      </c>
      <c r="I15" s="26" t="inlineStr">
        <is>
          <t>Derivado</t>
        </is>
      </c>
      <c r="J15" s="26" t="inlineStr">
        <is>
          <t>Conforme definição da fórmula</t>
        </is>
      </c>
      <c r="K15" s="26" t="inlineStr">
        <is>
          <t>EUA</t>
        </is>
      </c>
      <c r="L15" s="26" t="inlineStr">
        <is>
          <t>Derivado</t>
        </is>
      </c>
      <c r="M15" s="26" t="inlineStr"/>
    </row>
    <row r="16">
      <c r="A16" s="25" t="inlineStr">
        <is>
          <t>US-011</t>
        </is>
      </c>
      <c r="B16" s="26" t="inlineStr">
        <is>
          <t>Mercado de Trabalho</t>
        </is>
      </c>
      <c r="C16" s="26" t="inlineStr">
        <is>
          <t>Salários</t>
        </is>
      </c>
      <c r="D16" s="27" t="inlineStr">
        <is>
          <t>Employment Cost Index</t>
        </is>
      </c>
      <c r="E16" s="26" t="inlineStr">
        <is>
          <t>FRED (BLS)</t>
        </is>
      </c>
      <c r="F16" s="26" t="inlineStr">
        <is>
          <t>ECIALLCIV</t>
        </is>
      </c>
      <c r="G16" s="26" t="inlineStr">
        <is>
          <t>Trimestral</t>
        </is>
      </c>
      <c r="H16" s="26" t="inlineStr">
        <is>
          <t>Índice</t>
        </is>
      </c>
      <c r="I16" s="26" t="inlineStr">
        <is>
          <t>Índice</t>
        </is>
      </c>
      <c r="J16" s="26" t="inlineStr">
        <is>
          <t>Nível, MoM, QoQ, YoY, acum. 3/6/9/12m, 3m/6m SAAR, real/nominal</t>
        </is>
      </c>
      <c r="K16" s="26" t="inlineStr">
        <is>
          <t>EUA</t>
        </is>
      </c>
      <c r="L16" s="26" t="inlineStr">
        <is>
          <t>Verificado</t>
        </is>
      </c>
      <c r="M16" s="26" t="inlineStr"/>
    </row>
    <row r="17">
      <c r="A17" s="25" t="inlineStr">
        <is>
          <t>US-012</t>
        </is>
      </c>
      <c r="B17" s="26" t="inlineStr">
        <is>
          <t>Mercado de Trabalho</t>
        </is>
      </c>
      <c r="C17" s="26" t="inlineStr">
        <is>
          <t>Salários</t>
        </is>
      </c>
      <c r="D17" s="27" t="inlineStr">
        <is>
          <t>Average Hourly Earnings</t>
        </is>
      </c>
      <c r="E17" s="26" t="inlineStr">
        <is>
          <t>FRED (BLS)</t>
        </is>
      </c>
      <c r="F17" s="26" t="inlineStr">
        <is>
          <t>CES0500000003</t>
        </is>
      </c>
      <c r="G17" s="26" t="inlineStr">
        <is>
          <t>Mensal</t>
        </is>
      </c>
      <c r="H17" s="26" t="inlineStr">
        <is>
          <t>US$</t>
        </is>
      </c>
      <c r="I17" s="26" t="inlineStr">
        <is>
          <t>Índice</t>
        </is>
      </c>
      <c r="J17" s="26" t="inlineStr">
        <is>
          <t>Nível, MoM, QoQ, YoY, acum. 3/6/9/12m, 3m/6m SAAR, real/nominal</t>
        </is>
      </c>
      <c r="K17" s="26" t="inlineStr">
        <is>
          <t>EUA</t>
        </is>
      </c>
      <c r="L17" s="26" t="inlineStr">
        <is>
          <t>Verificado</t>
        </is>
      </c>
      <c r="M17" s="26" t="inlineStr"/>
    </row>
    <row r="18">
      <c r="A18" s="25" t="inlineStr">
        <is>
          <t>US-013</t>
        </is>
      </c>
      <c r="B18" s="26" t="inlineStr">
        <is>
          <t>Mercado de Trabalho</t>
        </is>
      </c>
      <c r="C18" s="26" t="inlineStr">
        <is>
          <t>Salários</t>
        </is>
      </c>
      <c r="D18" s="27" t="inlineStr">
        <is>
          <t>Real Wage Growth</t>
        </is>
      </c>
      <c r="E18" s="26" t="inlineStr">
        <is>
          <t>Argus</t>
        </is>
      </c>
      <c r="F18" s="26" t="inlineStr">
        <is>
          <t>f(CES0500000003, CPIAUCSL)</t>
        </is>
      </c>
      <c r="G18" s="26" t="inlineStr">
        <is>
          <t>Mensal</t>
        </is>
      </c>
      <c r="H18" s="26" t="inlineStr">
        <is>
          <t>%</t>
        </is>
      </c>
      <c r="I18" s="26" t="inlineStr">
        <is>
          <t>Derivado</t>
        </is>
      </c>
      <c r="J18" s="26" t="inlineStr">
        <is>
          <t>Conforme definição da fórmula</t>
        </is>
      </c>
      <c r="K18" s="26" t="inlineStr">
        <is>
          <t>EUA</t>
        </is>
      </c>
      <c r="L18" s="26" t="inlineStr">
        <is>
          <t>Derivado</t>
        </is>
      </c>
      <c r="M18" s="26" t="inlineStr"/>
    </row>
    <row r="19">
      <c r="A19" s="25" t="inlineStr">
        <is>
          <t>US-014</t>
        </is>
      </c>
      <c r="B19" s="26" t="inlineStr">
        <is>
          <t>Mercado de Trabalho</t>
        </is>
      </c>
      <c r="C19" s="26" t="inlineStr">
        <is>
          <t>Salários</t>
        </is>
      </c>
      <c r="D19" s="27" t="inlineStr">
        <is>
          <t>Wage Growth Tracker (job switcher)</t>
        </is>
      </c>
      <c r="E19" s="26" t="inlineStr">
        <is>
          <t>Atlanta Fed</t>
        </is>
      </c>
      <c r="F19" s="26" t="inlineStr">
        <is>
          <t>Download (xlsx)</t>
        </is>
      </c>
      <c r="G19" s="26" t="inlineStr">
        <is>
          <t>Mensal</t>
        </is>
      </c>
      <c r="H19" s="26" t="inlineStr">
        <is>
          <t>%</t>
        </is>
      </c>
      <c r="I19" s="26" t="inlineStr">
        <is>
          <t>Taxa</t>
        </is>
      </c>
      <c r="J19" s="26" t="inlineStr">
        <is>
          <t>Nível, Δ p.p. (MoM, YoY, 3/6/12m)</t>
        </is>
      </c>
      <c r="K19" s="26" t="inlineStr">
        <is>
          <t>v2</t>
        </is>
      </c>
      <c r="L19" s="26" t="inlineStr">
        <is>
          <t>Sem API</t>
        </is>
      </c>
      <c r="M19" s="26" t="inlineStr">
        <is>
          <t>Não encontrado no FRED com o código testado</t>
        </is>
      </c>
    </row>
    <row r="20">
      <c r="A20" s="25" t="inlineStr">
        <is>
          <t>US-015</t>
        </is>
      </c>
      <c r="B20" s="26" t="inlineStr">
        <is>
          <t>Mercado de Trabalho</t>
        </is>
      </c>
      <c r="C20" s="26" t="inlineStr">
        <is>
          <t>Indicadores</t>
        </is>
      </c>
      <c r="D20" s="27" t="inlineStr">
        <is>
          <t>Sahm Rule (real-time)</t>
        </is>
      </c>
      <c r="E20" s="26" t="inlineStr">
        <is>
          <t>FRED</t>
        </is>
      </c>
      <c r="F20" s="26" t="inlineStr">
        <is>
          <t>SAHMREALTIME</t>
        </is>
      </c>
      <c r="G20" s="26" t="inlineStr">
        <is>
          <t>Mensal</t>
        </is>
      </c>
      <c r="H20" s="26" t="inlineStr">
        <is>
          <t>p.p.</t>
        </is>
      </c>
      <c r="I20" s="26" t="inlineStr">
        <is>
          <t>Taxa</t>
        </is>
      </c>
      <c r="J20" s="26" t="inlineStr">
        <is>
          <t>Nível, Δ p.p. (MoM, YoY, 3/6/12m)</t>
        </is>
      </c>
      <c r="K20" s="26" t="inlineStr">
        <is>
          <t>EUA</t>
        </is>
      </c>
      <c r="L20" s="26" t="inlineStr">
        <is>
          <t>Verificado</t>
        </is>
      </c>
      <c r="M20" s="26" t="inlineStr">
        <is>
          <t>0,00 p.p. em 09/2026</t>
        </is>
      </c>
    </row>
    <row r="21">
      <c r="A21" s="25" t="inlineStr">
        <is>
          <t>US-016</t>
        </is>
      </c>
      <c r="B21" s="26" t="inlineStr">
        <is>
          <t>Inflação</t>
        </is>
      </c>
      <c r="C21" s="26" t="inlineStr">
        <is>
          <t>CPI</t>
        </is>
      </c>
      <c r="D21" s="27" t="inlineStr">
        <is>
          <t>CPI Headline e Core</t>
        </is>
      </c>
      <c r="E21" s="26" t="inlineStr">
        <is>
          <t>FRED (BLS)</t>
        </is>
      </c>
      <c r="F21" s="26" t="inlineStr">
        <is>
          <t>CPIAUCSL / CPILFESL</t>
        </is>
      </c>
      <c r="G21" s="26" t="inlineStr">
        <is>
          <t>Mensal</t>
        </is>
      </c>
      <c r="H21" s="26" t="inlineStr">
        <is>
          <t>Índice</t>
        </is>
      </c>
      <c r="I21" s="26" t="inlineStr">
        <is>
          <t>Índice</t>
        </is>
      </c>
      <c r="J21" s="26" t="inlineStr">
        <is>
          <t>Nível, MoM, QoQ, YoY, acum. 3/6/9/12m, 3m/6m SAAR, real/nominal</t>
        </is>
      </c>
      <c r="K21" s="26" t="inlineStr">
        <is>
          <t>EUA</t>
        </is>
      </c>
      <c r="L21" s="26" t="inlineStr">
        <is>
          <t>Verificado</t>
        </is>
      </c>
      <c r="M21" s="26" t="inlineStr"/>
    </row>
    <row r="22">
      <c r="A22" s="25" t="inlineStr">
        <is>
          <t>US-017</t>
        </is>
      </c>
      <c r="B22" s="26" t="inlineStr">
        <is>
          <t>Inflação</t>
        </is>
      </c>
      <c r="C22" s="26" t="inlineStr">
        <is>
          <t>CPI</t>
        </is>
      </c>
      <c r="D22" s="27" t="inlineStr">
        <is>
          <t>Supercore (services less rent of shelter)</t>
        </is>
      </c>
      <c r="E22" s="26" t="inlineStr">
        <is>
          <t>FRED (BLS)</t>
        </is>
      </c>
      <c r="F22" s="26" t="inlineStr">
        <is>
          <t>CUSR0000SASL2RS</t>
        </is>
      </c>
      <c r="G22" s="26" t="inlineStr">
        <is>
          <t>Mensal</t>
        </is>
      </c>
      <c r="H22" s="26" t="inlineStr">
        <is>
          <t>Índice</t>
        </is>
      </c>
      <c r="I22" s="26" t="inlineStr">
        <is>
          <t>Índice</t>
        </is>
      </c>
      <c r="J22" s="26" t="inlineStr">
        <is>
          <t>Nível, MoM, QoQ, YoY, acum. 3/6/9/12m, 3m/6m SAAR, real/nominal</t>
        </is>
      </c>
      <c r="K22" s="26" t="inlineStr">
        <is>
          <t>EUA</t>
        </is>
      </c>
      <c r="L22" s="26" t="inlineStr">
        <is>
          <t>Verificado</t>
        </is>
      </c>
      <c r="M22" s="26" t="inlineStr">
        <is>
          <t>Proxy; supercore estrito exclui também energia</t>
        </is>
      </c>
    </row>
    <row r="23">
      <c r="A23" s="25" t="inlineStr">
        <is>
          <t>US-018</t>
        </is>
      </c>
      <c r="B23" s="26" t="inlineStr">
        <is>
          <t>Inflação</t>
        </is>
      </c>
      <c r="C23" s="26" t="inlineStr">
        <is>
          <t>CPI</t>
        </is>
      </c>
      <c r="D23" s="27" t="inlineStr">
        <is>
          <t>Rent CPI e Owner Equivalent Rent</t>
        </is>
      </c>
      <c r="E23" s="26" t="inlineStr">
        <is>
          <t>FRED (BLS)</t>
        </is>
      </c>
      <c r="F23" s="26" t="inlineStr">
        <is>
          <t>CUSR0000SEHA / CUSR0000SEHC</t>
        </is>
      </c>
      <c r="G23" s="26" t="inlineStr">
        <is>
          <t>Mensal</t>
        </is>
      </c>
      <c r="H23" s="26" t="inlineStr">
        <is>
          <t>Índice</t>
        </is>
      </c>
      <c r="I23" s="26" t="inlineStr">
        <is>
          <t>Índice</t>
        </is>
      </c>
      <c r="J23" s="26" t="inlineStr">
        <is>
          <t>Nível, MoM, QoQ, YoY, acum. 3/6/9/12m, 3m/6m SAAR, real/nominal</t>
        </is>
      </c>
      <c r="K23" s="26" t="inlineStr">
        <is>
          <t>EUA</t>
        </is>
      </c>
      <c r="L23" s="26" t="inlineStr">
        <is>
          <t>Verificado</t>
        </is>
      </c>
      <c r="M23" s="26" t="inlineStr"/>
    </row>
    <row r="24">
      <c r="A24" s="25" t="inlineStr">
        <is>
          <t>US-019</t>
        </is>
      </c>
      <c r="B24" s="26" t="inlineStr">
        <is>
          <t>Inflação</t>
        </is>
      </c>
      <c r="C24" s="26" t="inlineStr">
        <is>
          <t>PCE</t>
        </is>
      </c>
      <c r="D24" s="27" t="inlineStr">
        <is>
          <t>PCE e Core PCE</t>
        </is>
      </c>
      <c r="E24" s="26" t="inlineStr">
        <is>
          <t>FRED (BEA)</t>
        </is>
      </c>
      <c r="F24" s="26" t="inlineStr">
        <is>
          <t>PCEPI / PCEPILFE</t>
        </is>
      </c>
      <c r="G24" s="26" t="inlineStr">
        <is>
          <t>Mensal</t>
        </is>
      </c>
      <c r="H24" s="26" t="inlineStr">
        <is>
          <t>Índice</t>
        </is>
      </c>
      <c r="I24" s="26" t="inlineStr">
        <is>
          <t>Índice</t>
        </is>
      </c>
      <c r="J24" s="26" t="inlineStr">
        <is>
          <t>Nível, MoM, QoQ, YoY, acum. 3/6/9/12m, 3m/6m SAAR, real/nominal</t>
        </is>
      </c>
      <c r="K24" s="26" t="inlineStr">
        <is>
          <t>EUA</t>
        </is>
      </c>
      <c r="L24" s="26" t="inlineStr">
        <is>
          <t>Verificado</t>
        </is>
      </c>
      <c r="M24" s="26" t="inlineStr"/>
    </row>
    <row r="25">
      <c r="A25" s="25" t="inlineStr">
        <is>
          <t>US-020</t>
        </is>
      </c>
      <c r="B25" s="26" t="inlineStr">
        <is>
          <t>Inflação</t>
        </is>
      </c>
      <c r="C25" s="26" t="inlineStr">
        <is>
          <t>PCE</t>
        </is>
      </c>
      <c r="D25" s="27" t="inlineStr">
        <is>
          <t>Trimmed Mean PCE (Dallas Fed, 12m)</t>
        </is>
      </c>
      <c r="E25" s="26" t="inlineStr">
        <is>
          <t>FRED</t>
        </is>
      </c>
      <c r="F25" s="26" t="inlineStr">
        <is>
          <t>PCETRIM12M159SFRBDAL</t>
        </is>
      </c>
      <c r="G25" s="26" t="inlineStr">
        <is>
          <t>Mensal</t>
        </is>
      </c>
      <c r="H25" s="26" t="inlineStr">
        <is>
          <t>%</t>
        </is>
      </c>
      <c r="I25" s="26" t="inlineStr">
        <is>
          <t>Taxa</t>
        </is>
      </c>
      <c r="J25" s="26" t="inlineStr">
        <is>
          <t>Nível, Δ p.p. (MoM, YoY, 3/6/12m)</t>
        </is>
      </c>
      <c r="K25" s="26" t="inlineStr">
        <is>
          <t>EUA</t>
        </is>
      </c>
      <c r="L25" s="26" t="inlineStr">
        <is>
          <t>Verificado</t>
        </is>
      </c>
      <c r="M25" s="26" t="inlineStr"/>
    </row>
    <row r="26">
      <c r="A26" s="25" t="inlineStr">
        <is>
          <t>US-021</t>
        </is>
      </c>
      <c r="B26" s="26" t="inlineStr">
        <is>
          <t>Inflação</t>
        </is>
      </c>
      <c r="C26" s="26" t="inlineStr">
        <is>
          <t>PPI</t>
        </is>
      </c>
      <c r="D26" s="27" t="inlineStr">
        <is>
          <t>PPI Final Demand</t>
        </is>
      </c>
      <c r="E26" s="26" t="inlineStr">
        <is>
          <t>FRED (BLS)</t>
        </is>
      </c>
      <c r="F26" s="26" t="inlineStr">
        <is>
          <t>PPIFIS</t>
        </is>
      </c>
      <c r="G26" s="26" t="inlineStr">
        <is>
          <t>Mensal</t>
        </is>
      </c>
      <c r="H26" s="26" t="inlineStr">
        <is>
          <t>Índice</t>
        </is>
      </c>
      <c r="I26" s="26" t="inlineStr">
        <is>
          <t>Índice</t>
        </is>
      </c>
      <c r="J26" s="26" t="inlineStr">
        <is>
          <t>Nível, MoM, QoQ, YoY, acum. 3/6/9/12m, 3m/6m SAAR, real/nominal</t>
        </is>
      </c>
      <c r="K26" s="26" t="inlineStr">
        <is>
          <t>EUA</t>
        </is>
      </c>
      <c r="L26" s="26" t="inlineStr">
        <is>
          <t>Verificado</t>
        </is>
      </c>
      <c r="M26" s="26" t="inlineStr"/>
    </row>
    <row r="27">
      <c r="A27" s="25" t="inlineStr">
        <is>
          <t>US-022</t>
        </is>
      </c>
      <c r="B27" s="26" t="inlineStr">
        <is>
          <t>Inflação</t>
        </is>
      </c>
      <c r="C27" s="26" t="inlineStr">
        <is>
          <t>Expectativas</t>
        </is>
      </c>
      <c r="D27" s="27" t="inlineStr">
        <is>
          <t>5y5y Forward Inflation Expectation</t>
        </is>
      </c>
      <c r="E27" s="26" t="inlineStr">
        <is>
          <t>FRED</t>
        </is>
      </c>
      <c r="F27" s="26" t="inlineStr">
        <is>
          <t>T5YIFR</t>
        </is>
      </c>
      <c r="G27" s="26" t="inlineStr">
        <is>
          <t>Diária</t>
        </is>
      </c>
      <c r="H27" s="26" t="inlineStr">
        <is>
          <t>%</t>
        </is>
      </c>
      <c r="I27" s="26" t="inlineStr">
        <is>
          <t>Taxa</t>
        </is>
      </c>
      <c r="J27" s="26" t="inlineStr">
        <is>
          <t>Nível, Δ p.p. (MoM, YoY, 3/6/12m)</t>
        </is>
      </c>
      <c r="K27" s="26" t="inlineStr">
        <is>
          <t>EUA</t>
        </is>
      </c>
      <c r="L27" s="26" t="inlineStr">
        <is>
          <t>Verificado</t>
        </is>
      </c>
      <c r="M27" s="26" t="inlineStr">
        <is>
          <t>Substitui o FRA 5Y5Y SOFR</t>
        </is>
      </c>
    </row>
    <row r="28">
      <c r="A28" s="25" t="inlineStr">
        <is>
          <t>US-023</t>
        </is>
      </c>
      <c r="B28" s="26" t="inlineStr">
        <is>
          <t>Inflação</t>
        </is>
      </c>
      <c r="C28" s="26" t="inlineStr">
        <is>
          <t>Expectativas</t>
        </is>
      </c>
      <c r="D28" s="27" t="inlineStr">
        <is>
          <t>FRA 5Y5Y SOFR / inflation swaps</t>
        </is>
      </c>
      <c r="E28" s="26" t="inlineStr">
        <is>
          <t>Bloomberg</t>
        </is>
      </c>
      <c r="F28" s="26" t="inlineStr">
        <is>
          <t>—</t>
        </is>
      </c>
      <c r="G28" s="26" t="inlineStr">
        <is>
          <t>Diária</t>
        </is>
      </c>
      <c r="H28" s="26" t="inlineStr">
        <is>
          <t>%</t>
        </is>
      </c>
      <c r="I28" s="26" t="inlineStr">
        <is>
          <t>Taxa</t>
        </is>
      </c>
      <c r="J28" s="26" t="inlineStr">
        <is>
          <t>Nível, Δ p.p. (MoM, YoY, 3/6/12m)</t>
        </is>
      </c>
      <c r="K28" s="26" t="inlineStr">
        <is>
          <t>v2</t>
        </is>
      </c>
      <c r="L28" s="26" t="inlineStr">
        <is>
          <t>Pago</t>
        </is>
      </c>
      <c r="M28" s="26" t="inlineStr">
        <is>
          <t>Usar T5YIFR</t>
        </is>
      </c>
    </row>
    <row r="29">
      <c r="A29" s="25" t="inlineStr">
        <is>
          <t>US-024</t>
        </is>
      </c>
      <c r="B29" s="26" t="inlineStr">
        <is>
          <t>Inflação</t>
        </is>
      </c>
      <c r="C29" s="26" t="inlineStr">
        <is>
          <t>Expectativas</t>
        </is>
      </c>
      <c r="D29" s="27" t="inlineStr">
        <is>
          <t>Michigan 1y inflation expectations</t>
        </is>
      </c>
      <c r="E29" s="26" t="inlineStr">
        <is>
          <t>FRED</t>
        </is>
      </c>
      <c r="F29" s="26" t="inlineStr">
        <is>
          <t>MICH</t>
        </is>
      </c>
      <c r="G29" s="26" t="inlineStr">
        <is>
          <t>Mensal</t>
        </is>
      </c>
      <c r="H29" s="26" t="inlineStr">
        <is>
          <t>%</t>
        </is>
      </c>
      <c r="I29" s="26" t="inlineStr">
        <is>
          <t>Taxa</t>
        </is>
      </c>
      <c r="J29" s="26" t="inlineStr">
        <is>
          <t>Nível, Δ p.p. (MoM, YoY, 3/6/12m)</t>
        </is>
      </c>
      <c r="K29" s="26" t="inlineStr">
        <is>
          <t>EUA</t>
        </is>
      </c>
      <c r="L29" s="26" t="inlineStr">
        <is>
          <t>Verificado</t>
        </is>
      </c>
      <c r="M29" s="26" t="inlineStr">
        <is>
          <t>Adicionado</t>
        </is>
      </c>
    </row>
    <row r="30">
      <c r="A30" s="25" t="inlineStr">
        <is>
          <t>US-025</t>
        </is>
      </c>
      <c r="B30" s="26" t="inlineStr">
        <is>
          <t>Inflação</t>
        </is>
      </c>
      <c r="C30" s="26" t="inlineStr">
        <is>
          <t>Antecedentes</t>
        </is>
      </c>
      <c r="D30" s="27" t="inlineStr">
        <is>
          <t>Manheim Used Vehicle Value Index</t>
        </is>
      </c>
      <c r="E30" s="26" t="inlineStr">
        <is>
          <t>Cox Automotive</t>
        </is>
      </c>
      <c r="F30" s="26" t="inlineStr">
        <is>
          <t>Download (site)</t>
        </is>
      </c>
      <c r="G30" s="26" t="inlineStr">
        <is>
          <t>Mensal</t>
        </is>
      </c>
      <c r="H30" s="26" t="inlineStr">
        <is>
          <t>Índice</t>
        </is>
      </c>
      <c r="I30" s="26" t="inlineStr">
        <is>
          <t>Índice</t>
        </is>
      </c>
      <c r="J30" s="26" t="inlineStr">
        <is>
          <t>Nível, MoM, QoQ, YoY, acum. 3/6/9/12m, 3m/6m SAAR, real/nominal</t>
        </is>
      </c>
      <c r="K30" s="26" t="inlineStr">
        <is>
          <t>v2</t>
        </is>
      </c>
      <c r="L30" s="26" t="inlineStr">
        <is>
          <t>Sem API</t>
        </is>
      </c>
      <c r="M30" s="26" t="inlineStr"/>
    </row>
    <row r="31">
      <c r="A31" s="25" t="inlineStr">
        <is>
          <t>US-026</t>
        </is>
      </c>
      <c r="B31" s="26" t="inlineStr">
        <is>
          <t>Inflação</t>
        </is>
      </c>
      <c r="C31" s="26" t="inlineStr">
        <is>
          <t>Antecedentes</t>
        </is>
      </c>
      <c r="D31" s="27" t="inlineStr">
        <is>
          <t>Container freight (Drewry / Freightos)</t>
        </is>
      </c>
      <c r="E31" s="26" t="inlineStr">
        <is>
          <t>Drewry / Freightos</t>
        </is>
      </c>
      <c r="F31" s="26" t="inlineStr">
        <is>
          <t>—</t>
        </is>
      </c>
      <c r="G31" s="26" t="inlineStr">
        <is>
          <t>Semanal</t>
        </is>
      </c>
      <c r="H31" s="26" t="inlineStr">
        <is>
          <t>US$/FEU</t>
        </is>
      </c>
      <c r="I31" s="26" t="inlineStr">
        <is>
          <t>Índice</t>
        </is>
      </c>
      <c r="J31" s="26" t="inlineStr">
        <is>
          <t>Nível, MoM, QoQ, YoY, acum. 3/6/9/12m, 3m/6m SAAR, real/nominal</t>
        </is>
      </c>
      <c r="K31" s="26" t="inlineStr">
        <is>
          <t>v2</t>
        </is>
      </c>
      <c r="L31" s="26" t="inlineStr">
        <is>
          <t>Pago</t>
        </is>
      </c>
      <c r="M31" s="26" t="inlineStr"/>
    </row>
    <row r="32">
      <c r="A32" s="25" t="inlineStr">
        <is>
          <t>US-027</t>
        </is>
      </c>
      <c r="B32" s="26" t="inlineStr">
        <is>
          <t>Atividade</t>
        </is>
      </c>
      <c r="C32" s="26" t="inlineStr">
        <is>
          <t>PIB</t>
        </is>
      </c>
      <c r="D32" s="27" t="inlineStr">
        <is>
          <t>Real GDP (nível, QoQ SAAR)</t>
        </is>
      </c>
      <c r="E32" s="26" t="inlineStr">
        <is>
          <t>FRED (BEA)</t>
        </is>
      </c>
      <c r="F32" s="26" t="inlineStr">
        <is>
          <t>GDPC1 / A191RL1Q225SBEA</t>
        </is>
      </c>
      <c r="G32" s="26" t="inlineStr">
        <is>
          <t>Trimestral</t>
        </is>
      </c>
      <c r="H32" s="26" t="inlineStr">
        <is>
          <t>US$ bi 2017</t>
        </is>
      </c>
      <c r="I32" s="26" t="inlineStr">
        <is>
          <t>Índice</t>
        </is>
      </c>
      <c r="J32" s="26" t="inlineStr">
        <is>
          <t>Nível, MoM, QoQ, YoY, acum. 3/6/9/12m, 3m/6m SAAR, real/nominal</t>
        </is>
      </c>
      <c r="K32" s="26" t="inlineStr">
        <is>
          <t>EUA</t>
        </is>
      </c>
      <c r="L32" s="26" t="inlineStr">
        <is>
          <t>Verificado</t>
        </is>
      </c>
      <c r="M32" s="26" t="inlineStr"/>
    </row>
    <row r="33">
      <c r="A33" s="25" t="inlineStr">
        <is>
          <t>US-028</t>
        </is>
      </c>
      <c r="B33" s="26" t="inlineStr">
        <is>
          <t>Atividade</t>
        </is>
      </c>
      <c r="C33" s="26" t="inlineStr">
        <is>
          <t>PIB</t>
        </is>
      </c>
      <c r="D33" s="27" t="inlineStr">
        <is>
          <t>Real GDP change (US$ tri) × Unemployment</t>
        </is>
      </c>
      <c r="E33" s="26" t="inlineStr">
        <is>
          <t>Argus</t>
        </is>
      </c>
      <c r="F33" s="26" t="inlineStr">
        <is>
          <t>Δ GDPC1 × UNRATE</t>
        </is>
      </c>
      <c r="G33" s="26" t="inlineStr">
        <is>
          <t>Trimestral</t>
        </is>
      </c>
      <c r="H33" s="26" t="inlineStr">
        <is>
          <t>US$ tri</t>
        </is>
      </c>
      <c r="I33" s="26" t="inlineStr">
        <is>
          <t>Derivado</t>
        </is>
      </c>
      <c r="J33" s="26" t="inlineStr">
        <is>
          <t>Conforme definição da fórmula</t>
        </is>
      </c>
      <c r="K33" s="26" t="inlineStr">
        <is>
          <t>EUA</t>
        </is>
      </c>
      <c r="L33" s="26" t="inlineStr">
        <is>
          <t>Derivado</t>
        </is>
      </c>
      <c r="M33" s="26" t="inlineStr"/>
    </row>
    <row r="34">
      <c r="A34" s="25" t="inlineStr">
        <is>
          <t>US-029</t>
        </is>
      </c>
      <c r="B34" s="26" t="inlineStr">
        <is>
          <t>Atividade</t>
        </is>
      </c>
      <c r="C34" s="26" t="inlineStr">
        <is>
          <t>PIB</t>
        </is>
      </c>
      <c r="D34" s="27" t="inlineStr">
        <is>
          <t>GDP goods × services</t>
        </is>
      </c>
      <c r="E34" s="26" t="inlineStr">
        <is>
          <t>BEA API</t>
        </is>
      </c>
      <c r="F34" s="26" t="inlineStr">
        <is>
          <t>NIPA T10206</t>
        </is>
      </c>
      <c r="G34" s="26" t="inlineStr">
        <is>
          <t>Trimestral</t>
        </is>
      </c>
      <c r="H34" s="26" t="inlineStr">
        <is>
          <t>US$ bi</t>
        </is>
      </c>
      <c r="I34" s="26" t="inlineStr">
        <is>
          <t>Índice</t>
        </is>
      </c>
      <c r="J34" s="26" t="inlineStr">
        <is>
          <t>Nível, MoM, QoQ, YoY, acum. 3/6/9/12m, 3m/6m SAAR, real/nominal</t>
        </is>
      </c>
      <c r="K34" s="26" t="inlineStr">
        <is>
          <t>v2</t>
        </is>
      </c>
      <c r="L34" s="26" t="inlineStr">
        <is>
          <t>Confirmar</t>
        </is>
      </c>
      <c r="M34" s="26" t="inlineStr"/>
    </row>
    <row r="35">
      <c r="A35" s="25" t="inlineStr">
        <is>
          <t>US-030</t>
        </is>
      </c>
      <c r="B35" s="26" t="inlineStr">
        <is>
          <t>Atividade</t>
        </is>
      </c>
      <c r="C35" s="26" t="inlineStr">
        <is>
          <t>PIB</t>
        </is>
      </c>
      <c r="D35" s="27" t="inlineStr">
        <is>
          <t>GDPNow</t>
        </is>
      </c>
      <c r="E35" s="26" t="inlineStr">
        <is>
          <t>FRED (Atlanta Fed)</t>
        </is>
      </c>
      <c r="F35" s="26" t="inlineStr">
        <is>
          <t>GDPNOW</t>
        </is>
      </c>
      <c r="G35" s="26" t="inlineStr">
        <is>
          <t>Contínua</t>
        </is>
      </c>
      <c r="H35" s="26" t="inlineStr">
        <is>
          <t>% SAAR</t>
        </is>
      </c>
      <c r="I35" s="26" t="inlineStr">
        <is>
          <t>Taxa</t>
        </is>
      </c>
      <c r="J35" s="26" t="inlineStr">
        <is>
          <t>Nível, Δ p.p. (MoM, YoY, 3/6/12m)</t>
        </is>
      </c>
      <c r="K35" s="26" t="inlineStr">
        <is>
          <t>EUA</t>
        </is>
      </c>
      <c r="L35" s="26" t="inlineStr">
        <is>
          <t>Verificado</t>
        </is>
      </c>
      <c r="M35" s="26" t="inlineStr">
        <is>
          <t>3,7% para 3T26 na verificação</t>
        </is>
      </c>
    </row>
    <row r="36">
      <c r="A36" s="25" t="inlineStr">
        <is>
          <t>US-031</t>
        </is>
      </c>
      <c r="B36" s="26" t="inlineStr">
        <is>
          <t>Atividade</t>
        </is>
      </c>
      <c r="C36" s="26" t="inlineStr">
        <is>
          <t>Consumo</t>
        </is>
      </c>
      <c r="D36" s="27" t="inlineStr">
        <is>
          <t>Retail Sales (nominal e real)</t>
        </is>
      </c>
      <c r="E36" s="26" t="inlineStr">
        <is>
          <t>FRED (Census)</t>
        </is>
      </c>
      <c r="F36" s="26" t="inlineStr">
        <is>
          <t>RSAFS / RRSFS</t>
        </is>
      </c>
      <c r="G36" s="26" t="inlineStr">
        <is>
          <t>Mensal</t>
        </is>
      </c>
      <c r="H36" s="26" t="inlineStr">
        <is>
          <t>US$ mi</t>
        </is>
      </c>
      <c r="I36" s="26" t="inlineStr">
        <is>
          <t>Fluxo</t>
        </is>
      </c>
      <c r="J36" s="26" t="inlineStr">
        <is>
          <t>Nível, soma 3/12m, MoM % (SA), YoY %, real/nominal, % PIB</t>
        </is>
      </c>
      <c r="K36" s="26" t="inlineStr">
        <is>
          <t>EUA</t>
        </is>
      </c>
      <c r="L36" s="26" t="inlineStr">
        <is>
          <t>Verificado</t>
        </is>
      </c>
      <c r="M36" s="26" t="inlineStr"/>
    </row>
    <row r="37">
      <c r="A37" s="25" t="inlineStr">
        <is>
          <t>US-032</t>
        </is>
      </c>
      <c r="B37" s="26" t="inlineStr">
        <is>
          <t>Atividade</t>
        </is>
      </c>
      <c r="C37" s="26" t="inlineStr">
        <is>
          <t>Consumo</t>
        </is>
      </c>
      <c r="D37" s="27" t="inlineStr">
        <is>
          <t>Real PCE e Private Consumption YoY</t>
        </is>
      </c>
      <c r="E37" s="26" t="inlineStr">
        <is>
          <t>FRED (BEA)</t>
        </is>
      </c>
      <c r="F37" s="26" t="inlineStr">
        <is>
          <t>PCEC96</t>
        </is>
      </c>
      <c r="G37" s="26" t="inlineStr">
        <is>
          <t>Mensal</t>
        </is>
      </c>
      <c r="H37" s="26" t="inlineStr">
        <is>
          <t>US$ bi</t>
        </is>
      </c>
      <c r="I37" s="26" t="inlineStr">
        <is>
          <t>Fluxo</t>
        </is>
      </c>
      <c r="J37" s="26" t="inlineStr">
        <is>
          <t>Nível, soma 3/12m, MoM % (SA), YoY %, real/nominal, % PIB</t>
        </is>
      </c>
      <c r="K37" s="26" t="inlineStr">
        <is>
          <t>EUA</t>
        </is>
      </c>
      <c r="L37" s="26" t="inlineStr">
        <is>
          <t>Verificado</t>
        </is>
      </c>
      <c r="M37" s="26" t="inlineStr"/>
    </row>
    <row r="38">
      <c r="A38" s="25" t="inlineStr">
        <is>
          <t>US-033</t>
        </is>
      </c>
      <c r="B38" s="26" t="inlineStr">
        <is>
          <t>Atividade</t>
        </is>
      </c>
      <c r="C38" s="26" t="inlineStr">
        <is>
          <t>Vendas</t>
        </is>
      </c>
      <c r="D38" s="27" t="inlineStr">
        <is>
          <t>Wholesale Sales</t>
        </is>
      </c>
      <c r="E38" s="26" t="inlineStr">
        <is>
          <t>FRED (Census)</t>
        </is>
      </c>
      <c r="F38" s="26" t="inlineStr">
        <is>
          <t>A mapear</t>
        </is>
      </c>
      <c r="G38" s="26" t="inlineStr">
        <is>
          <t>Mensal</t>
        </is>
      </c>
      <c r="H38" s="26" t="inlineStr">
        <is>
          <t>US$ mi</t>
        </is>
      </c>
      <c r="I38" s="26" t="inlineStr">
        <is>
          <t>Fluxo</t>
        </is>
      </c>
      <c r="J38" s="26" t="inlineStr">
        <is>
          <t>Nível, soma 3/12m, MoM % (SA), YoY %, real/nominal, % PIB</t>
        </is>
      </c>
      <c r="K38" s="26" t="inlineStr">
        <is>
          <t>v2</t>
        </is>
      </c>
      <c r="L38" s="26" t="inlineStr">
        <is>
          <t>A mapear</t>
        </is>
      </c>
      <c r="M38" s="26" t="inlineStr"/>
    </row>
    <row r="39">
      <c r="A39" s="25" t="inlineStr">
        <is>
          <t>US-034</t>
        </is>
      </c>
      <c r="B39" s="26" t="inlineStr">
        <is>
          <t>Atividade</t>
        </is>
      </c>
      <c r="C39" s="26" t="inlineStr">
        <is>
          <t>Vendas</t>
        </is>
      </c>
      <c r="D39" s="27" t="inlineStr">
        <is>
          <t>Selected Services Revenue</t>
        </is>
      </c>
      <c r="E39" s="26" t="inlineStr">
        <is>
          <t>Census QSS</t>
        </is>
      </c>
      <c r="F39" s="26" t="inlineStr">
        <is>
          <t>API Census</t>
        </is>
      </c>
      <c r="G39" s="26" t="inlineStr">
        <is>
          <t>Trimestral</t>
        </is>
      </c>
      <c r="H39" s="26" t="inlineStr">
        <is>
          <t>US$ mi</t>
        </is>
      </c>
      <c r="I39" s="26" t="inlineStr">
        <is>
          <t>Fluxo</t>
        </is>
      </c>
      <c r="J39" s="26" t="inlineStr">
        <is>
          <t>Nível, soma 3/12m, MoM % (SA), YoY %, real/nominal, % PIB</t>
        </is>
      </c>
      <c r="K39" s="26" t="inlineStr">
        <is>
          <t>v2</t>
        </is>
      </c>
      <c r="L39" s="26" t="inlineStr">
        <is>
          <t>Confirmar</t>
        </is>
      </c>
      <c r="M39" s="26" t="inlineStr"/>
    </row>
    <row r="40">
      <c r="A40" s="25" t="inlineStr">
        <is>
          <t>US-035</t>
        </is>
      </c>
      <c r="B40" s="26" t="inlineStr">
        <is>
          <t>Atividade</t>
        </is>
      </c>
      <c r="C40" s="26" t="inlineStr">
        <is>
          <t>Estoques</t>
        </is>
      </c>
      <c r="D40" s="27" t="inlineStr">
        <is>
          <t>Change in Private Inventories</t>
        </is>
      </c>
      <c r="E40" s="26" t="inlineStr">
        <is>
          <t>FRED (BEA)</t>
        </is>
      </c>
      <c r="F40" s="26" t="inlineStr">
        <is>
          <t>CBIC1</t>
        </is>
      </c>
      <c r="G40" s="26" t="inlineStr">
        <is>
          <t>Trimestral</t>
        </is>
      </c>
      <c r="H40" s="26" t="inlineStr">
        <is>
          <t>US$ bi</t>
        </is>
      </c>
      <c r="I40" s="26" t="inlineStr">
        <is>
          <t>Fluxo</t>
        </is>
      </c>
      <c r="J40" s="26" t="inlineStr">
        <is>
          <t>Nível, soma 3/12m, MoM % (SA), YoY %, real/nominal, % PIB</t>
        </is>
      </c>
      <c r="K40" s="26" t="inlineStr">
        <is>
          <t>EUA</t>
        </is>
      </c>
      <c r="L40" s="26" t="inlineStr">
        <is>
          <t>Verificado</t>
        </is>
      </c>
      <c r="M40" s="26" t="inlineStr"/>
    </row>
    <row r="41">
      <c r="A41" s="25" t="inlineStr">
        <is>
          <t>US-036</t>
        </is>
      </c>
      <c r="B41" s="26" t="inlineStr">
        <is>
          <t>Atividade</t>
        </is>
      </c>
      <c r="C41" s="26" t="inlineStr">
        <is>
          <t>Estoques</t>
        </is>
      </c>
      <c r="D41" s="27" t="inlineStr">
        <is>
          <t>Manufacturers Inventories/Sales</t>
        </is>
      </c>
      <c r="E41" s="26" t="inlineStr">
        <is>
          <t>FRED (Census)</t>
        </is>
      </c>
      <c r="F41" s="26" t="inlineStr">
        <is>
          <t>MNFCTRIRSA</t>
        </is>
      </c>
      <c r="G41" s="26" t="inlineStr">
        <is>
          <t>Mensal</t>
        </is>
      </c>
      <c r="H41" s="26" t="inlineStr">
        <is>
          <t>x</t>
        </is>
      </c>
      <c r="I41" s="26" t="inlineStr">
        <is>
          <t>Taxa</t>
        </is>
      </c>
      <c r="J41" s="26" t="inlineStr">
        <is>
          <t>Nível, Δ p.p. (MoM, YoY, 3/6/12m)</t>
        </is>
      </c>
      <c r="K41" s="26" t="inlineStr">
        <is>
          <t>EUA</t>
        </is>
      </c>
      <c r="L41" s="26" t="inlineStr">
        <is>
          <t>Verificado</t>
        </is>
      </c>
      <c r="M41" s="26" t="inlineStr">
        <is>
          <t>Proxy para excess inventory</t>
        </is>
      </c>
    </row>
    <row r="42">
      <c r="A42" s="25" t="inlineStr">
        <is>
          <t>US-037</t>
        </is>
      </c>
      <c r="B42" s="26" t="inlineStr">
        <is>
          <t>Atividade</t>
        </is>
      </c>
      <c r="C42" s="26" t="inlineStr">
        <is>
          <t>Indústria</t>
        </is>
      </c>
      <c r="D42" s="27" t="inlineStr">
        <is>
          <t>Industrial Production</t>
        </is>
      </c>
      <c r="E42" s="26" t="inlineStr">
        <is>
          <t>FRED (Fed)</t>
        </is>
      </c>
      <c r="F42" s="26" t="inlineStr">
        <is>
          <t>INDPRO</t>
        </is>
      </c>
      <c r="G42" s="26" t="inlineStr">
        <is>
          <t>Mensal</t>
        </is>
      </c>
      <c r="H42" s="26" t="inlineStr">
        <is>
          <t>Índice</t>
        </is>
      </c>
      <c r="I42" s="26" t="inlineStr">
        <is>
          <t>Índice</t>
        </is>
      </c>
      <c r="J42" s="26" t="inlineStr">
        <is>
          <t>Nível, MoM, QoQ, YoY, acum. 3/6/9/12m, 3m/6m SAAR, real/nominal</t>
        </is>
      </c>
      <c r="K42" s="26" t="inlineStr">
        <is>
          <t>EUA</t>
        </is>
      </c>
      <c r="L42" s="26" t="inlineStr">
        <is>
          <t>Verificado</t>
        </is>
      </c>
      <c r="M42" s="26" t="inlineStr">
        <is>
          <t>Adicionado</t>
        </is>
      </c>
    </row>
    <row r="43">
      <c r="A43" s="25" t="inlineStr">
        <is>
          <t>US-038</t>
        </is>
      </c>
      <c r="B43" s="26" t="inlineStr">
        <is>
          <t>Atividade</t>
        </is>
      </c>
      <c r="C43" s="26" t="inlineStr">
        <is>
          <t>PMI</t>
        </is>
      </c>
      <c r="D43" s="27" t="inlineStr">
        <is>
          <t>ISM Manufacturing e Services PMI</t>
        </is>
      </c>
      <c r="E43" s="26" t="inlineStr">
        <is>
          <t>ISM</t>
        </is>
      </c>
      <c r="F43" s="26" t="inlineStr">
        <is>
          <t>—</t>
        </is>
      </c>
      <c r="G43" s="26" t="inlineStr">
        <is>
          <t>Mensal</t>
        </is>
      </c>
      <c r="H43" s="26" t="inlineStr">
        <is>
          <t>Índice</t>
        </is>
      </c>
      <c r="I43" s="26" t="inlineStr">
        <is>
          <t>Índice</t>
        </is>
      </c>
      <c r="J43" s="26" t="inlineStr">
        <is>
          <t>Nível, MoM, QoQ, YoY, acum. 3/6/9/12m, 3m/6m SAAR, real/nominal</t>
        </is>
      </c>
      <c r="K43" s="26" t="inlineStr">
        <is>
          <t>v2</t>
        </is>
      </c>
      <c r="L43" s="26" t="inlineStr">
        <is>
          <t>Pago</t>
        </is>
      </c>
      <c r="M43" s="26" t="inlineStr">
        <is>
          <t>Licenciado; saiu do FRED</t>
        </is>
      </c>
    </row>
    <row r="44">
      <c r="A44" s="25" t="inlineStr">
        <is>
          <t>US-039</t>
        </is>
      </c>
      <c r="B44" s="26" t="inlineStr">
        <is>
          <t>Atividade</t>
        </is>
      </c>
      <c r="C44" s="26" t="inlineStr">
        <is>
          <t>PMI</t>
        </is>
      </c>
      <c r="D44" s="27" t="inlineStr">
        <is>
          <t>Pesquisas regionais do Fed (Philly, Empire, Dallas)</t>
        </is>
      </c>
      <c r="E44" s="26" t="inlineStr">
        <is>
          <t>FRED</t>
        </is>
      </c>
      <c r="F44" s="26" t="inlineStr">
        <is>
          <t>GACDFSA e equivalentes</t>
        </is>
      </c>
      <c r="G44" s="26" t="inlineStr">
        <is>
          <t>Mensal</t>
        </is>
      </c>
      <c r="H44" s="26" t="inlineStr">
        <is>
          <t>Índice</t>
        </is>
      </c>
      <c r="I44" s="26" t="inlineStr">
        <is>
          <t>Índice</t>
        </is>
      </c>
      <c r="J44" s="26" t="inlineStr">
        <is>
          <t>Nível, MoM, QoQ, YoY, acum. 3/6/9/12m, 3m/6m SAAR, real/nominal</t>
        </is>
      </c>
      <c r="K44" s="26" t="inlineStr">
        <is>
          <t>EUA</t>
        </is>
      </c>
      <c r="L44" s="26" t="inlineStr">
        <is>
          <t>A mapear</t>
        </is>
      </c>
      <c r="M44" s="26" t="inlineStr">
        <is>
          <t>Código GACDFSA não existe no FRED (HTTP 400 na validação de 2026-10-04); localizar o código correto</t>
        </is>
      </c>
    </row>
    <row r="45">
      <c r="A45" s="25" t="inlineStr">
        <is>
          <t>US-040</t>
        </is>
      </c>
      <c r="B45" s="26" t="inlineStr">
        <is>
          <t>Fed &amp; Juros</t>
        </is>
      </c>
      <c r="C45" s="26" t="inlineStr">
        <is>
          <t>Política</t>
        </is>
      </c>
      <c r="D45" s="27" t="inlineStr">
        <is>
          <t>Fed Funds (efetivo e banda)</t>
        </is>
      </c>
      <c r="E45" s="26" t="inlineStr">
        <is>
          <t>FRED</t>
        </is>
      </c>
      <c r="F45" s="26" t="inlineStr">
        <is>
          <t>DFF / DFEDTARU / DFEDTARL</t>
        </is>
      </c>
      <c r="G45" s="26" t="inlineStr">
        <is>
          <t>Diária</t>
        </is>
      </c>
      <c r="H45" s="26" t="inlineStr">
        <is>
          <t>%</t>
        </is>
      </c>
      <c r="I45" s="26" t="inlineStr">
        <is>
          <t>Taxa</t>
        </is>
      </c>
      <c r="J45" s="26" t="inlineStr">
        <is>
          <t>Nível, Δ p.p. (MoM, YoY, 3/6/12m)</t>
        </is>
      </c>
      <c r="K45" s="26" t="inlineStr">
        <is>
          <t>EUA</t>
        </is>
      </c>
      <c r="L45" s="26" t="inlineStr">
        <is>
          <t>Verificado</t>
        </is>
      </c>
      <c r="M45" s="26" t="inlineStr"/>
    </row>
    <row r="46">
      <c r="A46" s="25" t="inlineStr">
        <is>
          <t>US-041</t>
        </is>
      </c>
      <c r="B46" s="26" t="inlineStr">
        <is>
          <t>Fed &amp; Juros</t>
        </is>
      </c>
      <c r="C46" s="26" t="inlineStr">
        <is>
          <t>Balanço</t>
        </is>
      </c>
      <c r="D46" s="27" t="inlineStr">
        <is>
          <t>Total Fed Assets</t>
        </is>
      </c>
      <c r="E46" s="26" t="inlineStr">
        <is>
          <t>FRED</t>
        </is>
      </c>
      <c r="F46" s="26" t="inlineStr">
        <is>
          <t>WALCL</t>
        </is>
      </c>
      <c r="G46" s="26" t="inlineStr">
        <is>
          <t>Semanal</t>
        </is>
      </c>
      <c r="H46" s="26" t="inlineStr">
        <is>
          <t>US$ mi</t>
        </is>
      </c>
      <c r="I46" s="26" t="inlineStr">
        <is>
          <t>Estoque</t>
        </is>
      </c>
      <c r="J46" s="26" t="inlineStr">
        <is>
          <t>Nível, MoM %, YoY %, real/nominal, % PIB</t>
        </is>
      </c>
      <c r="K46" s="26" t="inlineStr">
        <is>
          <t>EUA</t>
        </is>
      </c>
      <c r="L46" s="26" t="inlineStr">
        <is>
          <t>Verificado</t>
        </is>
      </c>
      <c r="M46" s="26" t="inlineStr"/>
    </row>
    <row r="47">
      <c r="A47" s="25" t="inlineStr">
        <is>
          <t>US-042</t>
        </is>
      </c>
      <c r="B47" s="26" t="inlineStr">
        <is>
          <t>Fed &amp; Juros</t>
        </is>
      </c>
      <c r="C47" s="26" t="inlineStr">
        <is>
          <t>Comunicação</t>
        </is>
      </c>
      <c r="D47" s="27" t="inlineStr">
        <is>
          <t>Press releases e statements do FOMC</t>
        </is>
      </c>
      <c r="E47" s="26" t="inlineStr">
        <is>
          <t>Federal Reserve</t>
        </is>
      </c>
      <c r="F47" s="26" t="inlineStr">
        <is>
          <t>RSS</t>
        </is>
      </c>
      <c r="G47" s="26" t="inlineStr">
        <is>
          <t>Por evento</t>
        </is>
      </c>
      <c r="H47" s="26" t="inlineStr">
        <is>
          <t>Texto</t>
        </is>
      </c>
      <c r="I47" s="26" t="inlineStr">
        <is>
          <t>Texto</t>
        </is>
      </c>
      <c r="J47" s="26" t="inlineStr">
        <is>
          <t>—</t>
        </is>
      </c>
      <c r="K47" s="26" t="inlineStr">
        <is>
          <t>EUA</t>
        </is>
      </c>
      <c r="L47" s="26" t="inlineStr">
        <is>
          <t>Confirmar</t>
        </is>
      </c>
      <c r="M47" s="26" t="inlineStr">
        <is>
          <t>Alimenta o agregador</t>
        </is>
      </c>
    </row>
    <row r="48">
      <c r="A48" s="25" t="inlineStr">
        <is>
          <t>US-043</t>
        </is>
      </c>
      <c r="B48" s="26" t="inlineStr">
        <is>
          <t>Fed &amp; Juros</t>
        </is>
      </c>
      <c r="C48" s="26" t="inlineStr">
        <is>
          <t>Projeções</t>
        </is>
      </c>
      <c r="D48" s="27" t="inlineStr">
        <is>
          <t>Dotplot (mediana SEP)</t>
        </is>
      </c>
      <c r="E48" s="26" t="inlineStr">
        <is>
          <t>FRED</t>
        </is>
      </c>
      <c r="F48" s="26" t="inlineStr">
        <is>
          <t>FEDTARMD (+ FEDTARRH/RL)</t>
        </is>
      </c>
      <c r="G48" s="26" t="inlineStr">
        <is>
          <t>Trimestral</t>
        </is>
      </c>
      <c r="H48" s="26" t="inlineStr">
        <is>
          <t>%</t>
        </is>
      </c>
      <c r="I48" s="26" t="inlineStr">
        <is>
          <t>Taxa</t>
        </is>
      </c>
      <c r="J48" s="26" t="inlineStr">
        <is>
          <t>Nível, Δ p.p. (MoM, YoY, 3/6/12m)</t>
        </is>
      </c>
      <c r="K48" s="26" t="inlineStr">
        <is>
          <t>EUA</t>
        </is>
      </c>
      <c r="L48" s="26" t="inlineStr">
        <is>
          <t>Verificado</t>
        </is>
      </c>
      <c r="M48" s="26" t="inlineStr">
        <is>
          <t>Atualizado em 16/09/2026</t>
        </is>
      </c>
    </row>
    <row r="49">
      <c r="A49" s="25" t="inlineStr">
        <is>
          <t>US-044</t>
        </is>
      </c>
      <c r="B49" s="26" t="inlineStr">
        <is>
          <t>Fed &amp; Juros</t>
        </is>
      </c>
      <c r="C49" s="26" t="inlineStr">
        <is>
          <t>Curva</t>
        </is>
      </c>
      <c r="D49" s="27" t="inlineStr">
        <is>
          <t>US Yield Curve (1m–30y) e spreads</t>
        </is>
      </c>
      <c r="E49" s="26" t="inlineStr">
        <is>
          <t>FRED</t>
        </is>
      </c>
      <c r="F49" s="26" t="inlineStr">
        <is>
          <t>DGS1MO…DGS30 / T10Y2Y / T10Y3M</t>
        </is>
      </c>
      <c r="G49" s="26" t="inlineStr">
        <is>
          <t>Diária</t>
        </is>
      </c>
      <c r="H49" s="26" t="inlineStr">
        <is>
          <t>%</t>
        </is>
      </c>
      <c r="I49" s="26" t="inlineStr">
        <is>
          <t>Taxa</t>
        </is>
      </c>
      <c r="J49" s="26" t="inlineStr">
        <is>
          <t>Nível, Δ p.p. (MoM, YoY, 3/6/12m)</t>
        </is>
      </c>
      <c r="K49" s="26" t="inlineStr">
        <is>
          <t>EUA</t>
        </is>
      </c>
      <c r="L49" s="26" t="inlineStr">
        <is>
          <t>Verificado</t>
        </is>
      </c>
      <c r="M49" s="26" t="inlineStr"/>
    </row>
    <row r="50">
      <c r="A50" s="25" t="inlineStr">
        <is>
          <t>US-045</t>
        </is>
      </c>
      <c r="B50" s="26" t="inlineStr">
        <is>
          <t>Fed &amp; Juros</t>
        </is>
      </c>
      <c r="C50" s="26" t="inlineStr">
        <is>
          <t>Curva</t>
        </is>
      </c>
      <c r="D50" s="27" t="inlineStr">
        <is>
          <t>SOFR overnight</t>
        </is>
      </c>
      <c r="E50" s="26" t="inlineStr">
        <is>
          <t>FRED</t>
        </is>
      </c>
      <c r="F50" s="26" t="inlineStr">
        <is>
          <t>SOFR</t>
        </is>
      </c>
      <c r="G50" s="26" t="inlineStr">
        <is>
          <t>Diária</t>
        </is>
      </c>
      <c r="H50" s="26" t="inlineStr">
        <is>
          <t>%</t>
        </is>
      </c>
      <c r="I50" s="26" t="inlineStr">
        <is>
          <t>Taxa</t>
        </is>
      </c>
      <c r="J50" s="26" t="inlineStr">
        <is>
          <t>Nível, Δ p.p. (MoM, YoY, 3/6/12m)</t>
        </is>
      </c>
      <c r="K50" s="26" t="inlineStr">
        <is>
          <t>EUA</t>
        </is>
      </c>
      <c r="L50" s="26" t="inlineStr">
        <is>
          <t>Verificado</t>
        </is>
      </c>
      <c r="M50" s="26" t="inlineStr"/>
    </row>
    <row r="51">
      <c r="A51" s="25" t="inlineStr">
        <is>
          <t>US-046</t>
        </is>
      </c>
      <c r="B51" s="26" t="inlineStr">
        <is>
          <t>Fed &amp; Juros</t>
        </is>
      </c>
      <c r="C51" s="26" t="inlineStr">
        <is>
          <t>Curva</t>
        </is>
      </c>
      <c r="D51" s="27" t="inlineStr">
        <is>
          <t>SOFR 10Y swap</t>
        </is>
      </c>
      <c r="E51" s="26" t="inlineStr">
        <is>
          <t>Bloomberg</t>
        </is>
      </c>
      <c r="F51" s="26" t="inlineStr">
        <is>
          <t>—</t>
        </is>
      </c>
      <c r="G51" s="26" t="inlineStr">
        <is>
          <t>Diária</t>
        </is>
      </c>
      <c r="H51" s="26" t="inlineStr">
        <is>
          <t>%</t>
        </is>
      </c>
      <c r="I51" s="26" t="inlineStr">
        <is>
          <t>Taxa</t>
        </is>
      </c>
      <c r="J51" s="26" t="inlineStr">
        <is>
          <t>Nível, Δ p.p. (MoM, YoY, 3/6/12m)</t>
        </is>
      </c>
      <c r="K51" s="26" t="inlineStr">
        <is>
          <t>v2</t>
        </is>
      </c>
      <c r="L51" s="26" t="inlineStr">
        <is>
          <t>Pago</t>
        </is>
      </c>
      <c r="M51" s="26" t="inlineStr"/>
    </row>
    <row r="52">
      <c r="A52" s="25" t="inlineStr">
        <is>
          <t>US-047</t>
        </is>
      </c>
      <c r="B52" s="26" t="inlineStr">
        <is>
          <t>Fed &amp; Juros</t>
        </is>
      </c>
      <c r="C52" s="26" t="inlineStr">
        <is>
          <t>Mercado</t>
        </is>
      </c>
      <c r="D52" s="27" t="inlineStr">
        <is>
          <t>WIRP / probabilidade implícita</t>
        </is>
      </c>
      <c r="E52" s="26" t="inlineStr">
        <is>
          <t>Bloomberg / CME FedWatch</t>
        </is>
      </c>
      <c r="F52" s="26" t="inlineStr">
        <is>
          <t>—</t>
        </is>
      </c>
      <c r="G52" s="26" t="inlineStr">
        <is>
          <t>Diária</t>
        </is>
      </c>
      <c r="H52" s="26" t="inlineStr">
        <is>
          <t>%</t>
        </is>
      </c>
      <c r="I52" s="26" t="inlineStr">
        <is>
          <t>Taxa</t>
        </is>
      </c>
      <c r="J52" s="26" t="inlineStr">
        <is>
          <t>Nível, Δ p.p. (MoM, YoY, 3/6/12m)</t>
        </is>
      </c>
      <c r="K52" s="26" t="inlineStr">
        <is>
          <t>v2</t>
        </is>
      </c>
      <c r="L52" s="26" t="inlineStr">
        <is>
          <t>Pago</t>
        </is>
      </c>
      <c r="M52" s="26" t="inlineStr">
        <is>
          <t>FedWatch só no site</t>
        </is>
      </c>
    </row>
    <row r="53">
      <c r="A53" s="25" t="inlineStr">
        <is>
          <t>US-048</t>
        </is>
      </c>
      <c r="B53" s="26" t="inlineStr">
        <is>
          <t>Fed &amp; Juros</t>
        </is>
      </c>
      <c r="C53" s="26" t="inlineStr">
        <is>
          <t>Crédito</t>
        </is>
      </c>
      <c r="D53" s="27" t="inlineStr">
        <is>
          <t>Mortgage Rate 30y</t>
        </is>
      </c>
      <c r="E53" s="26" t="inlineStr">
        <is>
          <t>FRED (Freddie Mac)</t>
        </is>
      </c>
      <c r="F53" s="26" t="inlineStr">
        <is>
          <t>MORTGAGE30US</t>
        </is>
      </c>
      <c r="G53" s="26" t="inlineStr">
        <is>
          <t>Semanal</t>
        </is>
      </c>
      <c r="H53" s="26" t="inlineStr">
        <is>
          <t>%</t>
        </is>
      </c>
      <c r="I53" s="26" t="inlineStr">
        <is>
          <t>Taxa</t>
        </is>
      </c>
      <c r="J53" s="26" t="inlineStr">
        <is>
          <t>Nível, Δ p.p. (MoM, YoY, 3/6/12m)</t>
        </is>
      </c>
      <c r="K53" s="26" t="inlineStr">
        <is>
          <t>EUA</t>
        </is>
      </c>
      <c r="L53" s="26" t="inlineStr">
        <is>
          <t>Verificado</t>
        </is>
      </c>
      <c r="M53" s="26" t="inlineStr"/>
    </row>
    <row r="54">
      <c r="A54" s="25" t="inlineStr">
        <is>
          <t>US-049</t>
        </is>
      </c>
      <c r="B54" s="26" t="inlineStr">
        <is>
          <t>Fed &amp; Juros</t>
        </is>
      </c>
      <c r="C54" s="26" t="inlineStr">
        <is>
          <t>Agregados</t>
        </is>
      </c>
      <c r="D54" s="27" t="inlineStr">
        <is>
          <t>M1 e M2</t>
        </is>
      </c>
      <c r="E54" s="26" t="inlineStr">
        <is>
          <t>FRED</t>
        </is>
      </c>
      <c r="F54" s="26" t="inlineStr">
        <is>
          <t>M1SL / M2SL</t>
        </is>
      </c>
      <c r="G54" s="26" t="inlineStr">
        <is>
          <t>Mensal</t>
        </is>
      </c>
      <c r="H54" s="26" t="inlineStr">
        <is>
          <t>US$ bi</t>
        </is>
      </c>
      <c r="I54" s="26" t="inlineStr">
        <is>
          <t>Estoque</t>
        </is>
      </c>
      <c r="J54" s="26" t="inlineStr">
        <is>
          <t>Nível, MoM %, YoY %, real/nominal, % PIB</t>
        </is>
      </c>
      <c r="K54" s="26" t="inlineStr">
        <is>
          <t>EUA</t>
        </is>
      </c>
      <c r="L54" s="26" t="inlineStr">
        <is>
          <t>Verificado</t>
        </is>
      </c>
      <c r="M54" s="26" t="inlineStr"/>
    </row>
    <row r="55">
      <c r="A55" s="25" t="inlineStr">
        <is>
          <t>US-050</t>
        </is>
      </c>
      <c r="B55" s="26" t="inlineStr">
        <is>
          <t>Fed &amp; Juros</t>
        </is>
      </c>
      <c r="C55" s="26" t="inlineStr">
        <is>
          <t>Agregados</t>
        </is>
      </c>
      <c r="D55" s="27" t="inlineStr">
        <is>
          <t>M3 e M4</t>
        </is>
      </c>
      <c r="E55" s="26" t="inlineStr">
        <is>
          <t>Center for Financial Stability (Divisia)</t>
        </is>
      </c>
      <c r="F55" s="26" t="inlineStr">
        <is>
          <t>Download</t>
        </is>
      </c>
      <c r="G55" s="26" t="inlineStr">
        <is>
          <t>Mensal</t>
        </is>
      </c>
      <c r="H55" s="26" t="inlineStr">
        <is>
          <t>US$ bi</t>
        </is>
      </c>
      <c r="I55" s="26" t="inlineStr">
        <is>
          <t>Estoque</t>
        </is>
      </c>
      <c r="J55" s="26" t="inlineStr">
        <is>
          <t>Nível, MoM %, YoY %, real/nominal, % PIB</t>
        </is>
      </c>
      <c r="K55" s="26" t="inlineStr">
        <is>
          <t>v2</t>
        </is>
      </c>
      <c r="L55" s="26" t="inlineStr">
        <is>
          <t>Sem API</t>
        </is>
      </c>
      <c r="M55" s="26" t="inlineStr">
        <is>
          <t>Fed descontinuou o M3 em 2006</t>
        </is>
      </c>
    </row>
    <row r="56">
      <c r="A56" s="25" t="inlineStr">
        <is>
          <t>US-051</t>
        </is>
      </c>
      <c r="B56" s="26" t="inlineStr">
        <is>
          <t>Fed &amp; Juros</t>
        </is>
      </c>
      <c r="C56" s="26" t="inlineStr">
        <is>
          <t>Condições</t>
        </is>
      </c>
      <c r="D56" s="27" t="inlineStr">
        <is>
          <t>Chicago Fed NFCI</t>
        </is>
      </c>
      <c r="E56" s="26" t="inlineStr">
        <is>
          <t>FRED</t>
        </is>
      </c>
      <c r="F56" s="26" t="inlineStr">
        <is>
          <t>NFCI</t>
        </is>
      </c>
      <c r="G56" s="26" t="inlineStr">
        <is>
          <t>Semanal</t>
        </is>
      </c>
      <c r="H56" s="26" t="inlineStr">
        <is>
          <t>Índice</t>
        </is>
      </c>
      <c r="I56" s="26" t="inlineStr">
        <is>
          <t>Índice</t>
        </is>
      </c>
      <c r="J56" s="26" t="inlineStr">
        <is>
          <t>Nível, MoM, QoQ, YoY, acum. 3/6/9/12m, 3m/6m SAAR, real/nominal</t>
        </is>
      </c>
      <c r="K56" s="26" t="inlineStr">
        <is>
          <t>EUA</t>
        </is>
      </c>
      <c r="L56" s="26" t="inlineStr">
        <is>
          <t>Verificado</t>
        </is>
      </c>
      <c r="M56" s="26" t="inlineStr"/>
    </row>
    <row r="57">
      <c r="A57" s="25" t="inlineStr">
        <is>
          <t>US-052</t>
        </is>
      </c>
      <c r="B57" s="26" t="inlineStr">
        <is>
          <t>Fed &amp; Juros</t>
        </is>
      </c>
      <c r="C57" s="26" t="inlineStr">
        <is>
          <t>Condições</t>
        </is>
      </c>
      <c r="D57" s="27" t="inlineStr">
        <is>
          <t>St. Louis Fed Financial Stress Index</t>
        </is>
      </c>
      <c r="E57" s="26" t="inlineStr">
        <is>
          <t>FRED</t>
        </is>
      </c>
      <c r="F57" s="26" t="inlineStr">
        <is>
          <t>STLFSI4</t>
        </is>
      </c>
      <c r="G57" s="26" t="inlineStr">
        <is>
          <t>Semanal</t>
        </is>
      </c>
      <c r="H57" s="26" t="inlineStr">
        <is>
          <t>Índice</t>
        </is>
      </c>
      <c r="I57" s="26" t="inlineStr">
        <is>
          <t>Índice</t>
        </is>
      </c>
      <c r="J57" s="26" t="inlineStr">
        <is>
          <t>Nível, MoM, QoQ, YoY, acum. 3/6/9/12m, 3m/6m SAAR, real/nominal</t>
        </is>
      </c>
      <c r="K57" s="26" t="inlineStr">
        <is>
          <t>EUA</t>
        </is>
      </c>
      <c r="L57" s="26" t="inlineStr">
        <is>
          <t>Verificado</t>
        </is>
      </c>
      <c r="M57" s="26" t="inlineStr"/>
    </row>
    <row r="58">
      <c r="A58" s="25" t="inlineStr">
        <is>
          <t>US-053</t>
        </is>
      </c>
      <c r="B58" s="26" t="inlineStr">
        <is>
          <t>Fed &amp; Juros</t>
        </is>
      </c>
      <c r="C58" s="26" t="inlineStr">
        <is>
          <t>Crédito</t>
        </is>
      </c>
      <c r="D58" s="27" t="inlineStr">
        <is>
          <t>SLOOS — net % tightening C&amp;I</t>
        </is>
      </c>
      <c r="E58" s="26" t="inlineStr">
        <is>
          <t>FRED</t>
        </is>
      </c>
      <c r="F58" s="26" t="inlineStr">
        <is>
          <t>DRTSCILM</t>
        </is>
      </c>
      <c r="G58" s="26" t="inlineStr">
        <is>
          <t>Trimestral</t>
        </is>
      </c>
      <c r="H58" s="26" t="inlineStr">
        <is>
          <t>%</t>
        </is>
      </c>
      <c r="I58" s="26" t="inlineStr">
        <is>
          <t>Taxa</t>
        </is>
      </c>
      <c r="J58" s="26" t="inlineStr">
        <is>
          <t>Nível, Δ p.p. (MoM, YoY, 3/6/12m)</t>
        </is>
      </c>
      <c r="K58" s="26" t="inlineStr">
        <is>
          <t>EUA</t>
        </is>
      </c>
      <c r="L58" s="26" t="inlineStr">
        <is>
          <t>Verificado</t>
        </is>
      </c>
      <c r="M58" s="26" t="inlineStr"/>
    </row>
    <row r="59">
      <c r="A59" s="25" t="inlineStr">
        <is>
          <t>US-054</t>
        </is>
      </c>
      <c r="B59" s="26" t="inlineStr">
        <is>
          <t>Fed &amp; Juros</t>
        </is>
      </c>
      <c r="C59" s="26" t="inlineStr">
        <is>
          <t>Dívida</t>
        </is>
      </c>
      <c r="D59" s="27" t="inlineStr">
        <is>
          <t>% da dívida federal detida pelo Fed</t>
        </is>
      </c>
      <c r="E59" s="26" t="inlineStr">
        <is>
          <t>Argus</t>
        </is>
      </c>
      <c r="F59" s="26" t="inlineStr">
        <is>
          <t>FDHBFRBN / GFDEBTN</t>
        </is>
      </c>
      <c r="G59" s="26" t="inlineStr">
        <is>
          <t>Trimestral</t>
        </is>
      </c>
      <c r="H59" s="26" t="inlineStr">
        <is>
          <t>%</t>
        </is>
      </c>
      <c r="I59" s="26" t="inlineStr">
        <is>
          <t>Derivado</t>
        </is>
      </c>
      <c r="J59" s="26" t="inlineStr">
        <is>
          <t>Conforme definição da fórmula</t>
        </is>
      </c>
      <c r="K59" s="26" t="inlineStr">
        <is>
          <t>EUA</t>
        </is>
      </c>
      <c r="L59" s="26" t="inlineStr">
        <is>
          <t>Derivado</t>
        </is>
      </c>
      <c r="M59" s="26" t="inlineStr"/>
    </row>
    <row r="60">
      <c r="A60" s="25" t="inlineStr">
        <is>
          <t>US-055</t>
        </is>
      </c>
      <c r="B60" s="26" t="inlineStr">
        <is>
          <t>Imobiliário</t>
        </is>
      </c>
      <c r="C60" s="26" t="inlineStr">
        <is>
          <t>Preços</t>
        </is>
      </c>
      <c r="D60" s="27" t="inlineStr">
        <is>
          <t>Median Sales Price e Case-Shiller</t>
        </is>
      </c>
      <c r="E60" s="26" t="inlineStr">
        <is>
          <t>FRED</t>
        </is>
      </c>
      <c r="F60" s="26" t="inlineStr">
        <is>
          <t>MSPUS / CSUSHPISA</t>
        </is>
      </c>
      <c r="G60" s="26" t="inlineStr">
        <is>
          <t>Mensal/Trim.</t>
        </is>
      </c>
      <c r="H60" s="26" t="inlineStr">
        <is>
          <t>US$ / Índice</t>
        </is>
      </c>
      <c r="I60" s="26" t="inlineStr">
        <is>
          <t>Índice</t>
        </is>
      </c>
      <c r="J60" s="26" t="inlineStr">
        <is>
          <t>Nível, MoM, QoQ, YoY, acum. 3/6/9/12m, 3m/6m SAAR, real/nominal</t>
        </is>
      </c>
      <c r="K60" s="26" t="inlineStr">
        <is>
          <t>EUA</t>
        </is>
      </c>
      <c r="L60" s="26" t="inlineStr">
        <is>
          <t>Verificado</t>
        </is>
      </c>
      <c r="M60" s="26" t="inlineStr">
        <is>
          <t>Case-Shiller adicionado</t>
        </is>
      </c>
    </row>
    <row r="61">
      <c r="A61" s="25" t="inlineStr">
        <is>
          <t>US-056</t>
        </is>
      </c>
      <c r="B61" s="26" t="inlineStr">
        <is>
          <t>Imobiliário</t>
        </is>
      </c>
      <c r="C61" s="26" t="inlineStr">
        <is>
          <t>Oferta</t>
        </is>
      </c>
      <c r="D61" s="27" t="inlineStr">
        <is>
          <t>Months' Supply, Starts, Permits, Completions</t>
        </is>
      </c>
      <c r="E61" s="26" t="inlineStr">
        <is>
          <t>FRED (Census)</t>
        </is>
      </c>
      <c r="F61" s="26" t="inlineStr">
        <is>
          <t>MSACSR / HOUST / PERMIT / COMPUTSA</t>
        </is>
      </c>
      <c r="G61" s="26" t="inlineStr">
        <is>
          <t>Mensal</t>
        </is>
      </c>
      <c r="H61" s="26" t="inlineStr">
        <is>
          <t>Mil / meses</t>
        </is>
      </c>
      <c r="I61" s="26" t="inlineStr">
        <is>
          <t>Fluxo</t>
        </is>
      </c>
      <c r="J61" s="26" t="inlineStr">
        <is>
          <t>Nível, soma 3/12m, MoM % (SA), YoY %, real/nominal, % PIB</t>
        </is>
      </c>
      <c r="K61" s="26" t="inlineStr">
        <is>
          <t>EUA</t>
        </is>
      </c>
      <c r="L61" s="26" t="inlineStr">
        <is>
          <t>Verificado</t>
        </is>
      </c>
      <c r="M61" s="26" t="inlineStr"/>
    </row>
    <row r="62">
      <c r="A62" s="25" t="inlineStr">
        <is>
          <t>US-057</t>
        </is>
      </c>
      <c r="B62" s="26" t="inlineStr">
        <is>
          <t>Imobiliário</t>
        </is>
      </c>
      <c r="C62" s="26" t="inlineStr">
        <is>
          <t>Vendas</t>
        </is>
      </c>
      <c r="D62" s="27" t="inlineStr">
        <is>
          <t>Existing e Pending Home Sales</t>
        </is>
      </c>
      <c r="E62" s="26" t="inlineStr">
        <is>
          <t>NAR</t>
        </is>
      </c>
      <c r="F62" s="26" t="inlineStr">
        <is>
          <t>EXHOSLUSM495S (histórico curto)</t>
        </is>
      </c>
      <c r="G62" s="26" t="inlineStr">
        <is>
          <t>Mensal</t>
        </is>
      </c>
      <c r="H62" s="26" t="inlineStr">
        <is>
          <t>Mil</t>
        </is>
      </c>
      <c r="I62" s="26" t="inlineStr">
        <is>
          <t>Fluxo</t>
        </is>
      </c>
      <c r="J62" s="26" t="inlineStr">
        <is>
          <t>Nível, soma 3/12m, MoM % (SA), YoY %, real/nominal, % PIB</t>
        </is>
      </c>
      <c r="K62" s="26" t="inlineStr">
        <is>
          <t>v2</t>
        </is>
      </c>
      <c r="L62" s="26" t="inlineStr">
        <is>
          <t>Pago</t>
        </is>
      </c>
      <c r="M62" s="26" t="inlineStr">
        <is>
          <t>FRED exibe só os últimos meses por licença</t>
        </is>
      </c>
    </row>
    <row r="63">
      <c r="A63" s="25" t="inlineStr">
        <is>
          <t>US-058</t>
        </is>
      </c>
      <c r="B63" s="26" t="inlineStr">
        <is>
          <t>Imobiliário</t>
        </is>
      </c>
      <c r="C63" s="26" t="inlineStr">
        <is>
          <t>Vacância</t>
        </is>
      </c>
      <c r="D63" s="27" t="inlineStr">
        <is>
          <t>Rental e Homeowner Vacancy</t>
        </is>
      </c>
      <c r="E63" s="26" t="inlineStr">
        <is>
          <t>FRED (Census)</t>
        </is>
      </c>
      <c r="F63" s="26" t="inlineStr">
        <is>
          <t>RRVRUSQ156N / RHVRUSQ156N</t>
        </is>
      </c>
      <c r="G63" s="26" t="inlineStr">
        <is>
          <t>Trimestral</t>
        </is>
      </c>
      <c r="H63" s="26" t="inlineStr">
        <is>
          <t>%</t>
        </is>
      </c>
      <c r="I63" s="26" t="inlineStr">
        <is>
          <t>Taxa</t>
        </is>
      </c>
      <c r="J63" s="26" t="inlineStr">
        <is>
          <t>Nível, Δ p.p. (MoM, YoY, 3/6/12m)</t>
        </is>
      </c>
      <c r="K63" s="26" t="inlineStr">
        <is>
          <t>EUA</t>
        </is>
      </c>
      <c r="L63" s="26" t="inlineStr">
        <is>
          <t>Verificado</t>
        </is>
      </c>
      <c r="M63" s="26" t="inlineStr"/>
    </row>
    <row r="64">
      <c r="A64" s="25" t="inlineStr">
        <is>
          <t>US-059</t>
        </is>
      </c>
      <c r="B64" s="26" t="inlineStr">
        <is>
          <t>Imobiliário</t>
        </is>
      </c>
      <c r="C64" s="26" t="inlineStr">
        <is>
          <t>Sentimento</t>
        </is>
      </c>
      <c r="D64" s="27" t="inlineStr">
        <is>
          <t>NAHB Housing Market Index</t>
        </is>
      </c>
      <c r="E64" s="26" t="inlineStr">
        <is>
          <t>NAHB</t>
        </is>
      </c>
      <c r="F64" s="26" t="inlineStr">
        <is>
          <t>Download (site)</t>
        </is>
      </c>
      <c r="G64" s="26" t="inlineStr">
        <is>
          <t>Mensal</t>
        </is>
      </c>
      <c r="H64" s="26" t="inlineStr">
        <is>
          <t>Índice</t>
        </is>
      </c>
      <c r="I64" s="26" t="inlineStr">
        <is>
          <t>Índice</t>
        </is>
      </c>
      <c r="J64" s="26" t="inlineStr">
        <is>
          <t>Nível, MoM, QoQ, YoY, acum. 3/6/9/12m, 3m/6m SAAR, real/nominal</t>
        </is>
      </c>
      <c r="K64" s="26" t="inlineStr">
        <is>
          <t>v2</t>
        </is>
      </c>
      <c r="L64" s="26" t="inlineStr">
        <is>
          <t>Sem API</t>
        </is>
      </c>
      <c r="M64" s="26" t="inlineStr"/>
    </row>
    <row r="65">
      <c r="A65" s="25" t="inlineStr">
        <is>
          <t>US-060</t>
        </is>
      </c>
      <c r="B65" s="26" t="inlineStr">
        <is>
          <t>Imobiliário</t>
        </is>
      </c>
      <c r="C65" s="26" t="inlineStr">
        <is>
          <t>Acessibilidade</t>
        </is>
      </c>
      <c r="D65" s="27" t="inlineStr">
        <is>
          <t>Housing Affordability Index</t>
        </is>
      </c>
      <c r="E65" s="26" t="inlineStr">
        <is>
          <t>NAR / FRED</t>
        </is>
      </c>
      <c r="F65" s="26" t="inlineStr">
        <is>
          <t>FIXHAI</t>
        </is>
      </c>
      <c r="G65" s="26" t="inlineStr">
        <is>
          <t>Mensal</t>
        </is>
      </c>
      <c r="H65" s="26" t="inlineStr">
        <is>
          <t>Índice</t>
        </is>
      </c>
      <c r="I65" s="26" t="inlineStr">
        <is>
          <t>Índice</t>
        </is>
      </c>
      <c r="J65" s="26" t="inlineStr">
        <is>
          <t>Nível, MoM, QoQ, YoY, acum. 3/6/9/12m, 3m/6m SAAR, real/nominal</t>
        </is>
      </c>
      <c r="K65" s="26" t="inlineStr">
        <is>
          <t>v2</t>
        </is>
      </c>
      <c r="L65" s="26" t="inlineStr">
        <is>
          <t>Confirmar</t>
        </is>
      </c>
      <c r="M65" s="26" t="inlineStr"/>
    </row>
    <row r="66">
      <c r="A66" s="25" t="inlineStr">
        <is>
          <t>US-061</t>
        </is>
      </c>
      <c r="B66" s="26" t="inlineStr">
        <is>
          <t>Imobiliário</t>
        </is>
      </c>
      <c r="C66" s="26" t="inlineStr">
        <is>
          <t>Crédito</t>
        </is>
      </c>
      <c r="D66" s="27" t="inlineStr">
        <is>
          <t>Mortgage LTV</t>
        </is>
      </c>
      <c r="E66" s="26" t="inlineStr">
        <is>
          <t>FHFA / ICE</t>
        </is>
      </c>
      <c r="F66" s="26" t="inlineStr">
        <is>
          <t>—</t>
        </is>
      </c>
      <c r="G66" s="26" t="inlineStr">
        <is>
          <t>Trimestral</t>
        </is>
      </c>
      <c r="H66" s="26" t="inlineStr">
        <is>
          <t>%</t>
        </is>
      </c>
      <c r="I66" s="26" t="inlineStr">
        <is>
          <t>Taxa</t>
        </is>
      </c>
      <c r="J66" s="26" t="inlineStr">
        <is>
          <t>Nível, Δ p.p. (MoM, YoY, 3/6/12m)</t>
        </is>
      </c>
      <c r="K66" s="26" t="inlineStr">
        <is>
          <t>v2</t>
        </is>
      </c>
      <c r="L66" s="26" t="inlineStr">
        <is>
          <t>Sem API</t>
        </is>
      </c>
      <c r="M66" s="26" t="inlineStr"/>
    </row>
    <row r="67">
      <c r="A67" s="25" t="inlineStr">
        <is>
          <t>US-062</t>
        </is>
      </c>
      <c r="B67" s="26" t="inlineStr">
        <is>
          <t>Consumidor</t>
        </is>
      </c>
      <c r="C67" s="26" t="inlineStr">
        <is>
          <t>Confiança</t>
        </is>
      </c>
      <c r="D67" s="27" t="inlineStr">
        <is>
          <t>Michigan Consumer Sentiment</t>
        </is>
      </c>
      <c r="E67" s="26" t="inlineStr">
        <is>
          <t>FRED</t>
        </is>
      </c>
      <c r="F67" s="26" t="inlineStr">
        <is>
          <t>UMCSENT</t>
        </is>
      </c>
      <c r="G67" s="26" t="inlineStr">
        <is>
          <t>Mensal</t>
        </is>
      </c>
      <c r="H67" s="26" t="inlineStr">
        <is>
          <t>Índice</t>
        </is>
      </c>
      <c r="I67" s="26" t="inlineStr">
        <is>
          <t>Índice</t>
        </is>
      </c>
      <c r="J67" s="26" t="inlineStr">
        <is>
          <t>Nível, MoM, QoQ, YoY, acum. 3/6/9/12m, 3m/6m SAAR, real/nominal</t>
        </is>
      </c>
      <c r="K67" s="26" t="inlineStr">
        <is>
          <t>EUA</t>
        </is>
      </c>
      <c r="L67" s="26" t="inlineStr">
        <is>
          <t>Verificado</t>
        </is>
      </c>
      <c r="M67" s="26" t="inlineStr">
        <is>
          <t>Substitui Conference Board (pago)</t>
        </is>
      </c>
    </row>
    <row r="68">
      <c r="A68" s="25" t="inlineStr">
        <is>
          <t>US-063</t>
        </is>
      </c>
      <c r="B68" s="26" t="inlineStr">
        <is>
          <t>Consumidor</t>
        </is>
      </c>
      <c r="C68" s="26" t="inlineStr">
        <is>
          <t>Confiança</t>
        </is>
      </c>
      <c r="D68" s="27" t="inlineStr">
        <is>
          <t>Small Business Optimism (NFIB)</t>
        </is>
      </c>
      <c r="E68" s="26" t="inlineStr">
        <is>
          <t>NFIB</t>
        </is>
      </c>
      <c r="F68" s="26" t="inlineStr">
        <is>
          <t>Relatório (PDF)</t>
        </is>
      </c>
      <c r="G68" s="26" t="inlineStr">
        <is>
          <t>Mensal</t>
        </is>
      </c>
      <c r="H68" s="26" t="inlineStr">
        <is>
          <t>Índice</t>
        </is>
      </c>
      <c r="I68" s="26" t="inlineStr">
        <is>
          <t>Índice</t>
        </is>
      </c>
      <c r="J68" s="26" t="inlineStr">
        <is>
          <t>Nível, MoM, QoQ, YoY, acum. 3/6/9/12m, 3m/6m SAAR, real/nominal</t>
        </is>
      </c>
      <c r="K68" s="26" t="inlineStr">
        <is>
          <t>v2</t>
        </is>
      </c>
      <c r="L68" s="26" t="inlineStr">
        <is>
          <t>Sem API</t>
        </is>
      </c>
      <c r="M68" s="26" t="inlineStr"/>
    </row>
    <row r="69">
      <c r="A69" s="25" t="inlineStr">
        <is>
          <t>US-064</t>
        </is>
      </c>
      <c r="B69" s="26" t="inlineStr">
        <is>
          <t>Consumidor</t>
        </is>
      </c>
      <c r="C69" s="26" t="inlineStr">
        <is>
          <t>Balanço</t>
        </is>
      </c>
      <c r="D69" s="27" t="inlineStr">
        <is>
          <t>Household Net Worth</t>
        </is>
      </c>
      <c r="E69" s="26" t="inlineStr">
        <is>
          <t>FRED (Z.1)</t>
        </is>
      </c>
      <c r="F69" s="26" t="inlineStr">
        <is>
          <t>TNWBSHNO</t>
        </is>
      </c>
      <c r="G69" s="26" t="inlineStr">
        <is>
          <t>Trimestral</t>
        </is>
      </c>
      <c r="H69" s="26" t="inlineStr">
        <is>
          <t>US$ bi</t>
        </is>
      </c>
      <c r="I69" s="26" t="inlineStr">
        <is>
          <t>Estoque</t>
        </is>
      </c>
      <c r="J69" s="26" t="inlineStr">
        <is>
          <t>Nível, MoM %, YoY %, real/nominal, % PIB</t>
        </is>
      </c>
      <c r="K69" s="26" t="inlineStr">
        <is>
          <t>EUA</t>
        </is>
      </c>
      <c r="L69" s="26" t="inlineStr">
        <is>
          <t>Verificado</t>
        </is>
      </c>
      <c r="M69" s="26" t="inlineStr"/>
    </row>
    <row r="70">
      <c r="A70" s="25" t="inlineStr">
        <is>
          <t>US-065</t>
        </is>
      </c>
      <c r="B70" s="26" t="inlineStr">
        <is>
          <t>Consumidor</t>
        </is>
      </c>
      <c r="C70" s="26" t="inlineStr">
        <is>
          <t>Renda</t>
        </is>
      </c>
      <c r="D70" s="27" t="inlineStr">
        <is>
          <t>Personal Saving Rate e Real Disposable Income</t>
        </is>
      </c>
      <c r="E70" s="26" t="inlineStr">
        <is>
          <t>FRED (BEA)</t>
        </is>
      </c>
      <c r="F70" s="26" t="inlineStr">
        <is>
          <t>PSAVERT / DSPIC96</t>
        </is>
      </c>
      <c r="G70" s="26" t="inlineStr">
        <is>
          <t>Mensal</t>
        </is>
      </c>
      <c r="H70" s="26" t="inlineStr">
        <is>
          <t>% / US$ bi</t>
        </is>
      </c>
      <c r="I70" s="26" t="inlineStr">
        <is>
          <t>Taxa</t>
        </is>
      </c>
      <c r="J70" s="26" t="inlineStr">
        <is>
          <t>Nível, Δ p.p. (MoM, YoY, 3/6/12m)</t>
        </is>
      </c>
      <c r="K70" s="26" t="inlineStr">
        <is>
          <t>EUA</t>
        </is>
      </c>
      <c r="L70" s="26" t="inlineStr">
        <is>
          <t>Verificado</t>
        </is>
      </c>
      <c r="M70" s="26" t="inlineStr"/>
    </row>
    <row r="71">
      <c r="A71" s="25" t="inlineStr">
        <is>
          <t>US-066</t>
        </is>
      </c>
      <c r="B71" s="26" t="inlineStr">
        <is>
          <t>Consumidor</t>
        </is>
      </c>
      <c r="C71" s="26" t="inlineStr">
        <is>
          <t>Balanço</t>
        </is>
      </c>
      <c r="D71" s="27" t="inlineStr">
        <is>
          <t>Liabilities/Assets</t>
        </is>
      </c>
      <c r="E71" s="26" t="inlineStr">
        <is>
          <t>Argus</t>
        </is>
      </c>
      <c r="F71" s="26" t="inlineStr">
        <is>
          <t>Z.1 passivos / ativos</t>
        </is>
      </c>
      <c r="G71" s="26" t="inlineStr">
        <is>
          <t>Trimestral</t>
        </is>
      </c>
      <c r="H71" s="26" t="inlineStr">
        <is>
          <t>%</t>
        </is>
      </c>
      <c r="I71" s="26" t="inlineStr">
        <is>
          <t>Derivado</t>
        </is>
      </c>
      <c r="J71" s="26" t="inlineStr">
        <is>
          <t>Conforme definição da fórmula</t>
        </is>
      </c>
      <c r="K71" s="26" t="inlineStr">
        <is>
          <t>EUA</t>
        </is>
      </c>
      <c r="L71" s="26" t="inlineStr">
        <is>
          <t>Derivado</t>
        </is>
      </c>
      <c r="M71" s="26" t="inlineStr"/>
    </row>
    <row r="72">
      <c r="A72" s="25" t="inlineStr">
        <is>
          <t>US-067</t>
        </is>
      </c>
      <c r="B72" s="26" t="inlineStr">
        <is>
          <t>Consumidor</t>
        </is>
      </c>
      <c r="C72" s="26" t="inlineStr">
        <is>
          <t>Balanço</t>
        </is>
      </c>
      <c r="D72" s="27" t="inlineStr">
        <is>
          <t>Debt Service % DPI</t>
        </is>
      </c>
      <c r="E72" s="26" t="inlineStr">
        <is>
          <t>FRED</t>
        </is>
      </c>
      <c r="F72" s="26" t="inlineStr">
        <is>
          <t>TDSP</t>
        </is>
      </c>
      <c r="G72" s="26" t="inlineStr">
        <is>
          <t>Trimestral</t>
        </is>
      </c>
      <c r="H72" s="26" t="inlineStr">
        <is>
          <t>%</t>
        </is>
      </c>
      <c r="I72" s="26" t="inlineStr">
        <is>
          <t>Taxa</t>
        </is>
      </c>
      <c r="J72" s="26" t="inlineStr">
        <is>
          <t>Nível, Δ p.p. (MoM, YoY, 3/6/12m)</t>
        </is>
      </c>
      <c r="K72" s="26" t="inlineStr">
        <is>
          <t>EUA</t>
        </is>
      </c>
      <c r="L72" s="26" t="inlineStr">
        <is>
          <t>Verificado</t>
        </is>
      </c>
      <c r="M72" s="26" t="inlineStr"/>
    </row>
    <row r="73">
      <c r="A73" s="25" t="inlineStr">
        <is>
          <t>US-068</t>
        </is>
      </c>
      <c r="B73" s="26" t="inlineStr">
        <is>
          <t>Consumidor</t>
        </is>
      </c>
      <c r="C73" s="26" t="inlineStr">
        <is>
          <t>Desigualdade</t>
        </is>
      </c>
      <c r="D73" s="27" t="inlineStr">
        <is>
          <t>Assets by Wealth Percentile</t>
        </is>
      </c>
      <c r="E73" s="26" t="inlineStr">
        <is>
          <t>Fed DFA</t>
        </is>
      </c>
      <c r="F73" s="26" t="inlineStr">
        <is>
          <t>Download CSV / FRED (séries DFA)</t>
        </is>
      </c>
      <c r="G73" s="26" t="inlineStr">
        <is>
          <t>Trimestral</t>
        </is>
      </c>
      <c r="H73" s="26" t="inlineStr">
        <is>
          <t>%</t>
        </is>
      </c>
      <c r="I73" s="26" t="inlineStr">
        <is>
          <t>Taxa</t>
        </is>
      </c>
      <c r="J73" s="26" t="inlineStr">
        <is>
          <t>Nível, Δ p.p. (MoM, YoY, 3/6/12m)</t>
        </is>
      </c>
      <c r="K73" s="26" t="inlineStr">
        <is>
          <t>v2</t>
        </is>
      </c>
      <c r="L73" s="26" t="inlineStr">
        <is>
          <t>Confirmar</t>
        </is>
      </c>
      <c r="M73" s="26" t="inlineStr"/>
    </row>
    <row r="74">
      <c r="A74" s="25" t="inlineStr">
        <is>
          <t>US-069</t>
        </is>
      </c>
      <c r="B74" s="26" t="inlineStr">
        <is>
          <t>Consumidor</t>
        </is>
      </c>
      <c r="C74" s="26" t="inlineStr">
        <is>
          <t>Crédito</t>
        </is>
      </c>
      <c r="D74" s="27" t="inlineStr">
        <is>
          <t>Credit Card / Revolving Credit</t>
        </is>
      </c>
      <c r="E74" s="26" t="inlineStr">
        <is>
          <t>FRED (G.19)</t>
        </is>
      </c>
      <c r="F74" s="26" t="inlineStr">
        <is>
          <t>REVOLSL</t>
        </is>
      </c>
      <c r="G74" s="26" t="inlineStr">
        <is>
          <t>Mensal</t>
        </is>
      </c>
      <c r="H74" s="26" t="inlineStr">
        <is>
          <t>US$ bi</t>
        </is>
      </c>
      <c r="I74" s="26" t="inlineStr">
        <is>
          <t>Estoque</t>
        </is>
      </c>
      <c r="J74" s="26" t="inlineStr">
        <is>
          <t>Nível, MoM %, YoY %, real/nominal, % PIB</t>
        </is>
      </c>
      <c r="K74" s="26" t="inlineStr">
        <is>
          <t>EUA</t>
        </is>
      </c>
      <c r="L74" s="26" t="inlineStr">
        <is>
          <t>Verificado</t>
        </is>
      </c>
      <c r="M74" s="26" t="inlineStr"/>
    </row>
    <row r="75">
      <c r="A75" s="25" t="inlineStr">
        <is>
          <t>US-070</t>
        </is>
      </c>
      <c r="B75" s="26" t="inlineStr">
        <is>
          <t>Consumidor</t>
        </is>
      </c>
      <c r="C75" s="26" t="inlineStr">
        <is>
          <t>Crédito</t>
        </is>
      </c>
      <c r="D75" s="27" t="inlineStr">
        <is>
          <t>Expected application rate (cartão)</t>
        </is>
      </c>
      <c r="E75" s="26" t="inlineStr">
        <is>
          <t>NY Fed SCE</t>
        </is>
      </c>
      <c r="F75" s="26" t="inlineStr">
        <is>
          <t>Download</t>
        </is>
      </c>
      <c r="G75" s="26" t="inlineStr">
        <is>
          <t>Quadrimestral</t>
        </is>
      </c>
      <c r="H75" s="26" t="inlineStr">
        <is>
          <t>%</t>
        </is>
      </c>
      <c r="I75" s="26" t="inlineStr">
        <is>
          <t>Taxa</t>
        </is>
      </c>
      <c r="J75" s="26" t="inlineStr">
        <is>
          <t>Nível, Δ p.p. (MoM, YoY, 3/6/12m)</t>
        </is>
      </c>
      <c r="K75" s="26" t="inlineStr">
        <is>
          <t>v2</t>
        </is>
      </c>
      <c r="L75" s="26" t="inlineStr">
        <is>
          <t>Sem API</t>
        </is>
      </c>
      <c r="M75" s="26" t="inlineStr"/>
    </row>
    <row r="76">
      <c r="A76" s="25" t="inlineStr">
        <is>
          <t>US-071</t>
        </is>
      </c>
      <c r="B76" s="26" t="inlineStr">
        <is>
          <t>Consumidor</t>
        </is>
      </c>
      <c r="C76" s="26" t="inlineStr">
        <is>
          <t>Crédito</t>
        </is>
      </c>
      <c r="D76" s="27" t="inlineStr">
        <is>
          <t>Delinquencies (all loans e cartões)</t>
        </is>
      </c>
      <c r="E76" s="26" t="inlineStr">
        <is>
          <t>FRED</t>
        </is>
      </c>
      <c r="F76" s="26" t="inlineStr">
        <is>
          <t>DRALACBS / DRCCLACBS</t>
        </is>
      </c>
      <c r="G76" s="26" t="inlineStr">
        <is>
          <t>Trimestral</t>
        </is>
      </c>
      <c r="H76" s="26" t="inlineStr">
        <is>
          <t>%</t>
        </is>
      </c>
      <c r="I76" s="26" t="inlineStr">
        <is>
          <t>Taxa</t>
        </is>
      </c>
      <c r="J76" s="26" t="inlineStr">
        <is>
          <t>Nível, Δ p.p. (MoM, YoY, 3/6/12m)</t>
        </is>
      </c>
      <c r="K76" s="26" t="inlineStr">
        <is>
          <t>EUA</t>
        </is>
      </c>
      <c r="L76" s="26" t="inlineStr">
        <is>
          <t>Verificado</t>
        </is>
      </c>
      <c r="M76" s="26" t="inlineStr"/>
    </row>
    <row r="77">
      <c r="A77" s="25" t="inlineStr">
        <is>
          <t>US-072</t>
        </is>
      </c>
      <c r="B77" s="26" t="inlineStr">
        <is>
          <t>Corporativo</t>
        </is>
      </c>
      <c r="C77" s="26" t="inlineStr">
        <is>
          <t>Lucros</t>
        </is>
      </c>
      <c r="D77" s="27" t="inlineStr">
        <is>
          <t>Corporate Profits</t>
        </is>
      </c>
      <c r="E77" s="26" t="inlineStr">
        <is>
          <t>FRED (BEA)</t>
        </is>
      </c>
      <c r="F77" s="26" t="inlineStr">
        <is>
          <t>CP</t>
        </is>
      </c>
      <c r="G77" s="26" t="inlineStr">
        <is>
          <t>Trimestral</t>
        </is>
      </c>
      <c r="H77" s="26" t="inlineStr">
        <is>
          <t>US$ bi</t>
        </is>
      </c>
      <c r="I77" s="26" t="inlineStr">
        <is>
          <t>Fluxo</t>
        </is>
      </c>
      <c r="J77" s="26" t="inlineStr">
        <is>
          <t>Nível, soma 3/12m, MoM % (SA), YoY %, real/nominal, % PIB</t>
        </is>
      </c>
      <c r="K77" s="26" t="inlineStr">
        <is>
          <t>EUA</t>
        </is>
      </c>
      <c r="L77" s="26" t="inlineStr">
        <is>
          <t>Confirmar</t>
        </is>
      </c>
      <c r="M77" s="26" t="inlineStr"/>
    </row>
    <row r="78">
      <c r="A78" s="25" t="inlineStr">
        <is>
          <t>US-073</t>
        </is>
      </c>
      <c r="B78" s="26" t="inlineStr">
        <is>
          <t>Corporativo</t>
        </is>
      </c>
      <c r="C78" s="26" t="inlineStr">
        <is>
          <t>Lucros</t>
        </is>
      </c>
      <c r="D78" s="27" t="inlineStr">
        <is>
          <t>Corporate Profits × S&amp;P 500</t>
        </is>
      </c>
      <c r="E78" s="26" t="inlineStr">
        <is>
          <t>Argus + FMP</t>
        </is>
      </c>
      <c r="F78" s="26" t="inlineStr">
        <is>
          <t>CP × ^GSPC</t>
        </is>
      </c>
      <c r="G78" s="26" t="inlineStr">
        <is>
          <t>Trimestral</t>
        </is>
      </c>
      <c r="H78" s="26" t="inlineStr">
        <is>
          <t>Índice</t>
        </is>
      </c>
      <c r="I78" s="26" t="inlineStr">
        <is>
          <t>Derivado</t>
        </is>
      </c>
      <c r="J78" s="26" t="inlineStr">
        <is>
          <t>Conforme definição da fórmula</t>
        </is>
      </c>
      <c r="K78" s="26" t="inlineStr">
        <is>
          <t>EUA</t>
        </is>
      </c>
      <c r="L78" s="26" t="inlineStr">
        <is>
          <t>Derivado</t>
        </is>
      </c>
      <c r="M78" s="26" t="inlineStr">
        <is>
          <t>S&amp;P 500 no FRED tem só 10 anos</t>
        </is>
      </c>
    </row>
    <row r="79">
      <c r="A79" s="25" t="inlineStr">
        <is>
          <t>US-074</t>
        </is>
      </c>
      <c r="B79" s="26" t="inlineStr">
        <is>
          <t>Corporativo</t>
        </is>
      </c>
      <c r="C79" s="26" t="inlineStr">
        <is>
          <t>Lucros</t>
        </is>
      </c>
      <c r="D79" s="27" t="inlineStr">
        <is>
          <t>EPS estimates S&amp;P 500</t>
        </is>
      </c>
      <c r="E79" s="26" t="inlineStr">
        <is>
          <t>S&amp;P DJI / FactSet</t>
        </is>
      </c>
      <c r="F79" s="26" t="inlineStr">
        <is>
          <t>xlsx S&amp;P (manual)</t>
        </is>
      </c>
      <c r="G79" s="26" t="inlineStr">
        <is>
          <t>Trimestral</t>
        </is>
      </c>
      <c r="H79" s="26" t="inlineStr">
        <is>
          <t>US$</t>
        </is>
      </c>
      <c r="I79" s="26" t="inlineStr">
        <is>
          <t>Fluxo</t>
        </is>
      </c>
      <c r="J79" s="26" t="inlineStr">
        <is>
          <t>Nível, soma 3/12m, MoM % (SA), YoY %, real/nominal, % PIB</t>
        </is>
      </c>
      <c r="K79" s="26" t="inlineStr">
        <is>
          <t>v2</t>
        </is>
      </c>
      <c r="L79" s="26" t="inlineStr">
        <is>
          <t>Sem API</t>
        </is>
      </c>
      <c r="M79" s="26" t="inlineStr"/>
    </row>
    <row r="80">
      <c r="A80" s="25" t="inlineStr">
        <is>
          <t>US-075</t>
        </is>
      </c>
      <c r="B80" s="26" t="inlineStr">
        <is>
          <t>Corporativo</t>
        </is>
      </c>
      <c r="C80" s="26" t="inlineStr">
        <is>
          <t>Valuation</t>
        </is>
      </c>
      <c r="D80" s="27" t="inlineStr">
        <is>
          <t>Market Cap to GDP (Buffett)</t>
        </is>
      </c>
      <c r="E80" s="26" t="inlineStr">
        <is>
          <t>Argus</t>
        </is>
      </c>
      <c r="F80" s="26" t="inlineStr">
        <is>
          <t>NCBEILQ027S / GDP</t>
        </is>
      </c>
      <c r="G80" s="26" t="inlineStr">
        <is>
          <t>Trimestral</t>
        </is>
      </c>
      <c r="H80" s="26" t="inlineStr">
        <is>
          <t>%</t>
        </is>
      </c>
      <c r="I80" s="26" t="inlineStr">
        <is>
          <t>Derivado</t>
        </is>
      </c>
      <c r="J80" s="26" t="inlineStr">
        <is>
          <t>Conforme definição da fórmula</t>
        </is>
      </c>
      <c r="K80" s="26" t="inlineStr">
        <is>
          <t>EUA</t>
        </is>
      </c>
      <c r="L80" s="26" t="inlineStr">
        <is>
          <t>Derivado</t>
        </is>
      </c>
      <c r="M80" s="26" t="inlineStr"/>
    </row>
    <row r="81">
      <c r="A81" s="25" t="inlineStr">
        <is>
          <t>US-076</t>
        </is>
      </c>
      <c r="B81" s="26" t="inlineStr">
        <is>
          <t>Corporativo</t>
        </is>
      </c>
      <c r="C81" s="26" t="inlineStr">
        <is>
          <t>Investimento</t>
        </is>
      </c>
      <c r="D81" s="27" t="inlineStr">
        <is>
          <t>Fixed Investment (privado não residencial)</t>
        </is>
      </c>
      <c r="E81" s="26" t="inlineStr">
        <is>
          <t>FRED (BEA)</t>
        </is>
      </c>
      <c r="F81" s="26" t="inlineStr">
        <is>
          <t>PNFIC1</t>
        </is>
      </c>
      <c r="G81" s="26" t="inlineStr">
        <is>
          <t>Trimestral</t>
        </is>
      </c>
      <c r="H81" s="26" t="inlineStr">
        <is>
          <t>US$ bi</t>
        </is>
      </c>
      <c r="I81" s="26" t="inlineStr">
        <is>
          <t>Fluxo</t>
        </is>
      </c>
      <c r="J81" s="26" t="inlineStr">
        <is>
          <t>Nível, soma 3/12m, MoM % (SA), YoY %, real/nominal, % PIB</t>
        </is>
      </c>
      <c r="K81" s="26" t="inlineStr">
        <is>
          <t>EUA</t>
        </is>
      </c>
      <c r="L81" s="26" t="inlineStr">
        <is>
          <t>Verificado</t>
        </is>
      </c>
      <c r="M81" s="26" t="inlineStr"/>
    </row>
    <row r="82">
      <c r="A82" s="25" t="inlineStr">
        <is>
          <t>US-077</t>
        </is>
      </c>
      <c r="B82" s="26" t="inlineStr">
        <is>
          <t>Corporativo</t>
        </is>
      </c>
      <c r="C82" s="26" t="inlineStr">
        <is>
          <t>Investimento</t>
        </is>
      </c>
      <c r="D82" s="27" t="inlineStr">
        <is>
          <t>Capex Plans (NFIB e Fed regionais)</t>
        </is>
      </c>
      <c r="E82" s="26" t="inlineStr">
        <is>
          <t>NFIB / Fed regionais</t>
        </is>
      </c>
      <c r="F82" s="26" t="inlineStr">
        <is>
          <t>PDF / FRED</t>
        </is>
      </c>
      <c r="G82" s="26" t="inlineStr">
        <is>
          <t>Mensal</t>
        </is>
      </c>
      <c r="H82" s="26" t="inlineStr">
        <is>
          <t>%</t>
        </is>
      </c>
      <c r="I82" s="26" t="inlineStr">
        <is>
          <t>Taxa</t>
        </is>
      </c>
      <c r="J82" s="26" t="inlineStr">
        <is>
          <t>Nível, Δ p.p. (MoM, YoY, 3/6/12m)</t>
        </is>
      </c>
      <c r="K82" s="26" t="inlineStr">
        <is>
          <t>v2</t>
        </is>
      </c>
      <c r="L82" s="26" t="inlineStr">
        <is>
          <t>Sem API</t>
        </is>
      </c>
      <c r="M82" s="26" t="inlineStr"/>
    </row>
    <row r="83">
      <c r="A83" s="25" t="inlineStr">
        <is>
          <t>US-078</t>
        </is>
      </c>
      <c r="B83" s="26" t="inlineStr">
        <is>
          <t>Corporativo</t>
        </is>
      </c>
      <c r="C83" s="26" t="inlineStr">
        <is>
          <t>Caixa</t>
        </is>
      </c>
      <c r="D83" s="27" t="inlineStr">
        <is>
          <t>Corporate cash on hand</t>
        </is>
      </c>
      <c r="E83" s="26" t="inlineStr">
        <is>
          <t>FRED (Z.1)</t>
        </is>
      </c>
      <c r="F83" s="26" t="inlineStr">
        <is>
          <t>A mapear</t>
        </is>
      </c>
      <c r="G83" s="26" t="inlineStr">
        <is>
          <t>Trimestral</t>
        </is>
      </c>
      <c r="H83" s="26" t="inlineStr">
        <is>
          <t>US$ bi</t>
        </is>
      </c>
      <c r="I83" s="26" t="inlineStr">
        <is>
          <t>Estoque</t>
        </is>
      </c>
      <c r="J83" s="26" t="inlineStr">
        <is>
          <t>Nível, MoM %, YoY %, real/nominal, % PIB</t>
        </is>
      </c>
      <c r="K83" s="26" t="inlineStr">
        <is>
          <t>v2</t>
        </is>
      </c>
      <c r="L83" s="26" t="inlineStr">
        <is>
          <t>A mapear</t>
        </is>
      </c>
      <c r="M83" s="26" t="inlineStr"/>
    </row>
    <row r="84">
      <c r="A84" s="25" t="inlineStr">
        <is>
          <t>US-079</t>
        </is>
      </c>
      <c r="B84" s="26" t="inlineStr">
        <is>
          <t>Corporativo</t>
        </is>
      </c>
      <c r="C84" s="26" t="inlineStr">
        <is>
          <t>Stress</t>
        </is>
      </c>
      <c r="D84" s="27" t="inlineStr">
        <is>
          <t>Bankruptcy index</t>
        </is>
      </c>
      <c r="E84" s="26" t="inlineStr">
        <is>
          <t>Bloomberg / US Courts</t>
        </is>
      </c>
      <c r="F84" s="26" t="inlineStr">
        <is>
          <t>—</t>
        </is>
      </c>
      <c r="G84" s="26" t="inlineStr">
        <is>
          <t>Mensal</t>
        </is>
      </c>
      <c r="H84" s="26" t="inlineStr">
        <is>
          <t>Nº</t>
        </is>
      </c>
      <c r="I84" s="26" t="inlineStr">
        <is>
          <t>Fluxo</t>
        </is>
      </c>
      <c r="J84" s="26" t="inlineStr">
        <is>
          <t>Nível, soma 3/12m, MoM % (SA), YoY %, real/nominal, % PIB</t>
        </is>
      </c>
      <c r="K84" s="26" t="inlineStr">
        <is>
          <t>v2</t>
        </is>
      </c>
      <c r="L84" s="26" t="inlineStr">
        <is>
          <t>Pago</t>
        </is>
      </c>
      <c r="M84" s="26" t="inlineStr">
        <is>
          <t>US Courts publica estatística trimestral gratuita</t>
        </is>
      </c>
    </row>
    <row r="85">
      <c r="A85" s="25" t="inlineStr">
        <is>
          <t>US-080</t>
        </is>
      </c>
      <c r="B85" s="26" t="inlineStr">
        <is>
          <t>Setor Externo &amp; Fiscal</t>
        </is>
      </c>
      <c r="C85" s="26" t="inlineStr">
        <is>
          <t>Dívida</t>
        </is>
      </c>
      <c r="D85" s="27" t="inlineStr">
        <is>
          <t>Federal Debt % GDP</t>
        </is>
      </c>
      <c r="E85" s="26" t="inlineStr">
        <is>
          <t>FRED</t>
        </is>
      </c>
      <c r="F85" s="26" t="inlineStr">
        <is>
          <t>GFDEGDQ188S</t>
        </is>
      </c>
      <c r="G85" s="26" t="inlineStr">
        <is>
          <t>Trimestral</t>
        </is>
      </c>
      <c r="H85" s="26" t="inlineStr">
        <is>
          <t>%</t>
        </is>
      </c>
      <c r="I85" s="26" t="inlineStr">
        <is>
          <t>Taxa</t>
        </is>
      </c>
      <c r="J85" s="26" t="inlineStr">
        <is>
          <t>Nível, Δ p.p. (MoM, YoY, 3/6/12m)</t>
        </is>
      </c>
      <c r="K85" s="26" t="inlineStr">
        <is>
          <t>EUA</t>
        </is>
      </c>
      <c r="L85" s="26" t="inlineStr">
        <is>
          <t>Verificado</t>
        </is>
      </c>
      <c r="M85" s="26" t="inlineStr"/>
    </row>
    <row r="86">
      <c r="A86" s="25" t="inlineStr">
        <is>
          <t>US-081</t>
        </is>
      </c>
      <c r="B86" s="26" t="inlineStr">
        <is>
          <t>Setor Externo &amp; Fiscal</t>
        </is>
      </c>
      <c r="C86" s="26" t="inlineStr">
        <is>
          <t>Projeções</t>
        </is>
      </c>
      <c r="D86" s="27" t="inlineStr">
        <is>
          <t>CBO deficit projections</t>
        </is>
      </c>
      <c r="E86" s="26" t="inlineStr">
        <is>
          <t>CBO</t>
        </is>
      </c>
      <c r="F86" s="26" t="inlineStr">
        <is>
          <t>xlsx (manual)</t>
        </is>
      </c>
      <c r="G86" s="26" t="inlineStr">
        <is>
          <t>Semestral</t>
        </is>
      </c>
      <c r="H86" s="26" t="inlineStr">
        <is>
          <t>% PIB</t>
        </is>
      </c>
      <c r="I86" s="26" t="inlineStr">
        <is>
          <t>Taxa</t>
        </is>
      </c>
      <c r="J86" s="26" t="inlineStr">
        <is>
          <t>Nível, Δ p.p. (MoM, YoY, 3/6/12m)</t>
        </is>
      </c>
      <c r="K86" s="26" t="inlineStr">
        <is>
          <t>v2</t>
        </is>
      </c>
      <c r="L86" s="26" t="inlineStr">
        <is>
          <t>Sem API</t>
        </is>
      </c>
      <c r="M86" s="26" t="inlineStr"/>
    </row>
    <row r="87">
      <c r="A87" s="25" t="inlineStr">
        <is>
          <t>US-082</t>
        </is>
      </c>
      <c r="B87" s="26" t="inlineStr">
        <is>
          <t>Setor Externo &amp; Fiscal</t>
        </is>
      </c>
      <c r="C87" s="26" t="inlineStr">
        <is>
          <t>Projeções</t>
        </is>
      </c>
      <c r="D87" s="27" t="inlineStr">
        <is>
          <t>Deficit impact e spending revisions (Kinea)</t>
        </is>
      </c>
      <c r="E87" s="26" t="inlineStr">
        <is>
          <t>Kinea</t>
        </is>
      </c>
      <c r="F87" s="26" t="inlineStr">
        <is>
          <t>Relatórios (manual)</t>
        </is>
      </c>
      <c r="G87" s="26" t="inlineStr">
        <is>
          <t>Eventual</t>
        </is>
      </c>
      <c r="H87" s="26" t="inlineStr">
        <is>
          <t>% PIB</t>
        </is>
      </c>
      <c r="I87" s="26" t="inlineStr">
        <is>
          <t>Taxa</t>
        </is>
      </c>
      <c r="J87" s="26" t="inlineStr">
        <is>
          <t>Nível, Δ p.p. (MoM, YoY, 3/6/12m)</t>
        </is>
      </c>
      <c r="K87" s="26" t="inlineStr">
        <is>
          <t>v2</t>
        </is>
      </c>
      <c r="L87" s="26" t="inlineStr">
        <is>
          <t>Sem API</t>
        </is>
      </c>
      <c r="M87" s="26" t="inlineStr">
        <is>
          <t>Fonte de terceiro; registrar data do relatório</t>
        </is>
      </c>
    </row>
    <row r="88">
      <c r="A88" s="25" t="inlineStr">
        <is>
          <t>US-083</t>
        </is>
      </c>
      <c r="B88" s="26" t="inlineStr">
        <is>
          <t>Setor Externo &amp; Fiscal</t>
        </is>
      </c>
      <c r="C88" s="26" t="inlineStr">
        <is>
          <t>Comércio</t>
        </is>
      </c>
      <c r="D88" s="27" t="inlineStr">
        <is>
          <t>Trade Balance</t>
        </is>
      </c>
      <c r="E88" s="26" t="inlineStr">
        <is>
          <t>FRED (Census)</t>
        </is>
      </c>
      <c r="F88" s="26" t="inlineStr">
        <is>
          <t>BOPGSTB</t>
        </is>
      </c>
      <c r="G88" s="26" t="inlineStr">
        <is>
          <t>Mensal</t>
        </is>
      </c>
      <c r="H88" s="26" t="inlineStr">
        <is>
          <t>US$ mi</t>
        </is>
      </c>
      <c r="I88" s="26" t="inlineStr">
        <is>
          <t>Fluxo</t>
        </is>
      </c>
      <c r="J88" s="26" t="inlineStr">
        <is>
          <t>Nível, soma 3/12m, MoM % (SA), YoY %, real/nominal, % PIB</t>
        </is>
      </c>
      <c r="K88" s="26" t="inlineStr">
        <is>
          <t>EUA</t>
        </is>
      </c>
      <c r="L88" s="26" t="inlineStr">
        <is>
          <t>Verificado</t>
        </is>
      </c>
      <c r="M88" s="26" t="inlineStr"/>
    </row>
    <row r="89">
      <c r="A89" s="25" t="inlineStr">
        <is>
          <t>US-084</t>
        </is>
      </c>
      <c r="B89" s="26" t="inlineStr">
        <is>
          <t>Setor Externo &amp; Fiscal</t>
        </is>
      </c>
      <c r="C89" s="26" t="inlineStr">
        <is>
          <t>Comércio</t>
        </is>
      </c>
      <c r="D89" s="27" t="inlineStr">
        <is>
          <t>Current Account % GDP</t>
        </is>
      </c>
      <c r="E89" s="26" t="inlineStr">
        <is>
          <t>Argus</t>
        </is>
      </c>
      <c r="F89" s="26" t="inlineStr">
        <is>
          <t>IEABC / GDP</t>
        </is>
      </c>
      <c r="G89" s="26" t="inlineStr">
        <is>
          <t>Trimestral</t>
        </is>
      </c>
      <c r="H89" s="26" t="inlineStr">
        <is>
          <t>%</t>
        </is>
      </c>
      <c r="I89" s="26" t="inlineStr">
        <is>
          <t>Derivado</t>
        </is>
      </c>
      <c r="J89" s="26" t="inlineStr">
        <is>
          <t>Conforme definição da fórmula</t>
        </is>
      </c>
      <c r="K89" s="26" t="inlineStr">
        <is>
          <t>EUA</t>
        </is>
      </c>
      <c r="L89" s="26" t="inlineStr">
        <is>
          <t>Derivado</t>
        </is>
      </c>
      <c r="M89" s="26" t="inlineStr"/>
    </row>
    <row r="90">
      <c r="A90" s="25" t="inlineStr">
        <is>
          <t>US-085</t>
        </is>
      </c>
      <c r="B90" s="26" t="inlineStr">
        <is>
          <t>Setor Externo &amp; Fiscal</t>
        </is>
      </c>
      <c r="C90" s="26" t="inlineStr">
        <is>
          <t>Comércio</t>
        </is>
      </c>
      <c r="D90" s="27" t="inlineStr">
        <is>
          <t>Imports — automotive (end-use)</t>
        </is>
      </c>
      <c r="E90" s="26" t="inlineStr">
        <is>
          <t>Census API</t>
        </is>
      </c>
      <c r="F90" s="26" t="inlineStr">
        <is>
          <t>FT-900 end-use</t>
        </is>
      </c>
      <c r="G90" s="26" t="inlineStr">
        <is>
          <t>Mensal</t>
        </is>
      </c>
      <c r="H90" s="26" t="inlineStr">
        <is>
          <t>US$ mi</t>
        </is>
      </c>
      <c r="I90" s="26" t="inlineStr">
        <is>
          <t>Fluxo</t>
        </is>
      </c>
      <c r="J90" s="26" t="inlineStr">
        <is>
          <t>Nível, soma 3/12m, MoM % (SA), YoY %, real/nominal, % PIB</t>
        </is>
      </c>
      <c r="K90" s="26" t="inlineStr">
        <is>
          <t>v2</t>
        </is>
      </c>
      <c r="L90" s="26" t="inlineStr">
        <is>
          <t>Confirmar</t>
        </is>
      </c>
      <c r="M90" s="26" t="inlineStr"/>
    </row>
    <row r="91">
      <c r="A91" s="25" t="inlineStr">
        <is>
          <t>US-086</t>
        </is>
      </c>
      <c r="B91" s="26" t="inlineStr">
        <is>
          <t>Setor Externo &amp; Fiscal</t>
        </is>
      </c>
      <c r="C91" s="26" t="inlineStr">
        <is>
          <t>Comércio</t>
        </is>
      </c>
      <c r="D91" s="27" t="inlineStr">
        <is>
          <t>Effective tariff rate</t>
        </is>
      </c>
      <c r="E91" s="26" t="inlineStr">
        <is>
          <t>Argus</t>
        </is>
      </c>
      <c r="F91" s="26" t="inlineStr">
        <is>
          <t>B235RC1Q027SBEA / IMPGS</t>
        </is>
      </c>
      <c r="G91" s="26" t="inlineStr">
        <is>
          <t>Trimestral</t>
        </is>
      </c>
      <c r="H91" s="26" t="inlineStr">
        <is>
          <t>%</t>
        </is>
      </c>
      <c r="I91" s="26" t="inlineStr">
        <is>
          <t>Derivado</t>
        </is>
      </c>
      <c r="J91" s="26" t="inlineStr">
        <is>
          <t>Conforme definição da fórmula</t>
        </is>
      </c>
      <c r="K91" s="26" t="inlineStr">
        <is>
          <t>EUA</t>
        </is>
      </c>
      <c r="L91" s="26" t="inlineStr">
        <is>
          <t>Derivado</t>
        </is>
      </c>
      <c r="M91" s="26" t="inlineStr">
        <is>
          <t>Customs duties / importações</t>
        </is>
      </c>
    </row>
    <row r="92">
      <c r="A92" s="25" t="inlineStr">
        <is>
          <t>US-087</t>
        </is>
      </c>
      <c r="B92" s="26" t="inlineStr">
        <is>
          <t>Setor Externo &amp; Fiscal</t>
        </is>
      </c>
      <c r="C92" s="26" t="inlineStr">
        <is>
          <t>Energia</t>
        </is>
      </c>
      <c r="D92" s="27" t="inlineStr">
        <is>
          <t>Strategic Petroleum Reserve</t>
        </is>
      </c>
      <c r="E92" s="26" t="inlineStr">
        <is>
          <t>FRED (EIA)</t>
        </is>
      </c>
      <c r="F92" s="26" t="inlineStr">
        <is>
          <t>WCSSTUS1</t>
        </is>
      </c>
      <c r="G92" s="26" t="inlineStr">
        <is>
          <t>Semanal</t>
        </is>
      </c>
      <c r="H92" s="26" t="inlineStr">
        <is>
          <t>Mil barris</t>
        </is>
      </c>
      <c r="I92" s="26" t="inlineStr">
        <is>
          <t>Estoque</t>
        </is>
      </c>
      <c r="J92" s="26" t="inlineStr">
        <is>
          <t>Nível, MoM %, YoY %, real/nominal, % PIB</t>
        </is>
      </c>
      <c r="K92" s="26" t="inlineStr">
        <is>
          <t>EUA</t>
        </is>
      </c>
      <c r="L92" s="26" t="inlineStr">
        <is>
          <t>A mapear</t>
        </is>
      </c>
      <c r="M92" s="26" t="inlineStr">
        <is>
          <t>Código WCSSTUS1 não existe no FRED (HTTP 400 na validação de 2026-10-04); localizar o código correto</t>
        </is>
      </c>
    </row>
    <row r="93">
      <c r="A93" s="25" t="inlineStr">
        <is>
          <t>US-088</t>
        </is>
      </c>
      <c r="B93" s="26" t="inlineStr">
        <is>
          <t>Setor Externo &amp; Fiscal</t>
        </is>
      </c>
      <c r="C93" s="26" t="inlineStr">
        <is>
          <t>Câmbio</t>
        </is>
      </c>
      <c r="D93" s="27" t="inlineStr">
        <is>
          <t>DXY</t>
        </is>
      </c>
      <c r="E93" s="26" t="inlineStr">
        <is>
          <t>ICE</t>
        </is>
      </c>
      <c r="F93" s="26" t="inlineStr">
        <is>
          <t>—</t>
        </is>
      </c>
      <c r="G93" s="26" t="inlineStr">
        <is>
          <t>Diária</t>
        </is>
      </c>
      <c r="H93" s="26" t="inlineStr">
        <is>
          <t>Índice</t>
        </is>
      </c>
      <c r="I93" s="26" t="inlineStr">
        <is>
          <t>Índice</t>
        </is>
      </c>
      <c r="J93" s="26" t="inlineStr">
        <is>
          <t>Nível, MoM, QoQ, YoY, acum. 3/6/9/12m, 3m/6m SAAR, real/nominal</t>
        </is>
      </c>
      <c r="K93" s="26" t="inlineStr">
        <is>
          <t>v2</t>
        </is>
      </c>
      <c r="L93" s="26" t="inlineStr">
        <is>
          <t>Pago</t>
        </is>
      </c>
      <c r="M93" s="26" t="inlineStr">
        <is>
          <t>Usar DTWEXBGS (broad dollar, FRED)</t>
        </is>
      </c>
    </row>
    <row r="94">
      <c r="A94" s="25" t="inlineStr">
        <is>
          <t>US-089</t>
        </is>
      </c>
      <c r="B94" s="26" t="inlineStr">
        <is>
          <t>Setor Externo &amp; Fiscal</t>
        </is>
      </c>
      <c r="C94" s="26" t="inlineStr">
        <is>
          <t>Câmbio</t>
        </is>
      </c>
      <c r="D94" s="27" t="inlineStr">
        <is>
          <t>Broad Dollar Index</t>
        </is>
      </c>
      <c r="E94" s="26" t="inlineStr">
        <is>
          <t>FRED</t>
        </is>
      </c>
      <c r="F94" s="26" t="inlineStr">
        <is>
          <t>DTWEXBGS</t>
        </is>
      </c>
      <c r="G94" s="26" t="inlineStr">
        <is>
          <t>Diária</t>
        </is>
      </c>
      <c r="H94" s="26" t="inlineStr">
        <is>
          <t>Índice</t>
        </is>
      </c>
      <c r="I94" s="26" t="inlineStr">
        <is>
          <t>Índice</t>
        </is>
      </c>
      <c r="J94" s="26" t="inlineStr">
        <is>
          <t>Nível, MoM, QoQ, YoY, acum. 3/6/9/12m, 3m/6m SAAR, real/nominal</t>
        </is>
      </c>
      <c r="K94" s="26" t="inlineStr">
        <is>
          <t>EUA</t>
        </is>
      </c>
      <c r="L94" s="26" t="inlineStr">
        <is>
          <t>Verificado</t>
        </is>
      </c>
      <c r="M94" s="26" t="inlineStr">
        <is>
          <t>Substituto do DXY</t>
        </is>
      </c>
    </row>
    <row r="95">
      <c r="A95" s="25" t="inlineStr">
        <is>
          <t>US-090</t>
        </is>
      </c>
      <c r="B95" s="26" t="inlineStr">
        <is>
          <t>Risco &amp; Mercado</t>
        </is>
      </c>
      <c r="C95" s="26" t="inlineStr">
        <is>
          <t>Vol</t>
        </is>
      </c>
      <c r="D95" s="27" t="inlineStr">
        <is>
          <t>VIX</t>
        </is>
      </c>
      <c r="E95" s="26" t="inlineStr">
        <is>
          <t>FRED (CBOE)</t>
        </is>
      </c>
      <c r="F95" s="26" t="inlineStr">
        <is>
          <t>VIXCLS</t>
        </is>
      </c>
      <c r="G95" s="26" t="inlineStr">
        <is>
          <t>Diária</t>
        </is>
      </c>
      <c r="H95" s="26" t="inlineStr">
        <is>
          <t>Índice</t>
        </is>
      </c>
      <c r="I95" s="26" t="inlineStr">
        <is>
          <t>Índice</t>
        </is>
      </c>
      <c r="J95" s="26" t="inlineStr">
        <is>
          <t>Nível, MoM, QoQ, YoY, acum. 3/6/9/12m, 3m/6m SAAR, real/nominal</t>
        </is>
      </c>
      <c r="K95" s="26" t="inlineStr">
        <is>
          <t>EUA</t>
        </is>
      </c>
      <c r="L95" s="26" t="inlineStr">
        <is>
          <t>Verificado</t>
        </is>
      </c>
      <c r="M95" s="26" t="inlineStr"/>
    </row>
    <row r="96">
      <c r="A96" s="25" t="inlineStr">
        <is>
          <t>US-091</t>
        </is>
      </c>
      <c r="B96" s="26" t="inlineStr">
        <is>
          <t>Risco &amp; Mercado</t>
        </is>
      </c>
      <c r="C96" s="26" t="inlineStr">
        <is>
          <t>Vol</t>
        </is>
      </c>
      <c r="D96" s="27" t="inlineStr">
        <is>
          <t>MOVE Index</t>
        </is>
      </c>
      <c r="E96" s="26" t="inlineStr">
        <is>
          <t>ICE</t>
        </is>
      </c>
      <c r="F96" s="26" t="inlineStr">
        <is>
          <t>—</t>
        </is>
      </c>
      <c r="G96" s="26" t="inlineStr">
        <is>
          <t>Diária</t>
        </is>
      </c>
      <c r="H96" s="26" t="inlineStr">
        <is>
          <t>Índice</t>
        </is>
      </c>
      <c r="I96" s="26" t="inlineStr">
        <is>
          <t>Índice</t>
        </is>
      </c>
      <c r="J96" s="26" t="inlineStr">
        <is>
          <t>Nível, MoM, QoQ, YoY, acum. 3/6/9/12m, 3m/6m SAAR, real/nominal</t>
        </is>
      </c>
      <c r="K96" s="26" t="inlineStr">
        <is>
          <t>v2</t>
        </is>
      </c>
      <c r="L96" s="26" t="inlineStr">
        <is>
          <t>Pago</t>
        </is>
      </c>
      <c r="M96" s="26" t="inlineStr"/>
    </row>
    <row r="97">
      <c r="A97" s="25" t="inlineStr">
        <is>
          <t>US-092</t>
        </is>
      </c>
      <c r="B97" s="26" t="inlineStr">
        <is>
          <t>Risco &amp; Mercado</t>
        </is>
      </c>
      <c r="C97" s="26" t="inlineStr">
        <is>
          <t>Crédito</t>
        </is>
      </c>
      <c r="D97" s="27" t="inlineStr">
        <is>
          <t>ICE BofA High Yield OAS</t>
        </is>
      </c>
      <c r="E97" s="26" t="inlineStr">
        <is>
          <t>FRED</t>
        </is>
      </c>
      <c r="F97" s="26" t="inlineStr">
        <is>
          <t>BAMLH0A0HYM2</t>
        </is>
      </c>
      <c r="G97" s="26" t="inlineStr">
        <is>
          <t>Diária</t>
        </is>
      </c>
      <c r="H97" s="26" t="inlineStr">
        <is>
          <t>%</t>
        </is>
      </c>
      <c r="I97" s="26" t="inlineStr">
        <is>
          <t>Taxa</t>
        </is>
      </c>
      <c r="J97" s="26" t="inlineStr">
        <is>
          <t>Nível, Δ p.p. (MoM, YoY, 3/6/12m)</t>
        </is>
      </c>
      <c r="K97" s="26" t="inlineStr">
        <is>
          <t>EUA</t>
        </is>
      </c>
      <c r="L97" s="26" t="inlineStr">
        <is>
          <t>Verificado</t>
        </is>
      </c>
      <c r="M97" s="26" t="inlineStr">
        <is>
          <t>Conferir profundidade do histórico disponível</t>
        </is>
      </c>
    </row>
    <row r="98">
      <c r="A98" s="25" t="inlineStr">
        <is>
          <t>US-093</t>
        </is>
      </c>
      <c r="B98" s="26" t="inlineStr">
        <is>
          <t>Risco &amp; Mercado</t>
        </is>
      </c>
      <c r="C98" s="26" t="inlineStr">
        <is>
          <t>Valuation</t>
        </is>
      </c>
      <c r="D98" s="27" t="inlineStr">
        <is>
          <t>Equity Risk Premium</t>
        </is>
      </c>
      <c r="E98" s="26" t="inlineStr">
        <is>
          <t>Argus / Damodaran</t>
        </is>
      </c>
      <c r="F98" s="26" t="inlineStr">
        <is>
          <t>Earnings yield − DFII10</t>
        </is>
      </c>
      <c r="G98" s="26" t="inlineStr">
        <is>
          <t>Mensal</t>
        </is>
      </c>
      <c r="H98" s="26" t="inlineStr">
        <is>
          <t>%</t>
        </is>
      </c>
      <c r="I98" s="26" t="inlineStr">
        <is>
          <t>Derivado</t>
        </is>
      </c>
      <c r="J98" s="26" t="inlineStr">
        <is>
          <t>Conforme definição da fórmula</t>
        </is>
      </c>
      <c r="K98" s="26" t="inlineStr">
        <is>
          <t>EUA</t>
        </is>
      </c>
      <c r="L98" s="26" t="inlineStr">
        <is>
          <t>Derivado</t>
        </is>
      </c>
      <c r="M98" s="26" t="inlineStr"/>
    </row>
    <row r="99">
      <c r="A99" s="25" t="inlineStr">
        <is>
          <t>US-094</t>
        </is>
      </c>
      <c r="B99" s="26" t="inlineStr">
        <is>
          <t>Risco &amp; Mercado</t>
        </is>
      </c>
      <c r="C99" s="26" t="inlineStr">
        <is>
          <t>Crédito</t>
        </is>
      </c>
      <c r="D99" s="27" t="inlineStr">
        <is>
          <t>Implied Default (a partir do HY spread)</t>
        </is>
      </c>
      <c r="E99" s="26" t="inlineStr">
        <is>
          <t>Argus</t>
        </is>
      </c>
      <c r="F99" s="26" t="inlineStr">
        <is>
          <t>f(BAMLH0A0HYM2, recovery)</t>
        </is>
      </c>
      <c r="G99" s="26" t="inlineStr">
        <is>
          <t>Diária</t>
        </is>
      </c>
      <c r="H99" s="26" t="inlineStr">
        <is>
          <t>%</t>
        </is>
      </c>
      <c r="I99" s="26" t="inlineStr">
        <is>
          <t>Derivado</t>
        </is>
      </c>
      <c r="J99" s="26" t="inlineStr">
        <is>
          <t>Conforme definição da fórmula</t>
        </is>
      </c>
      <c r="K99" s="26" t="inlineStr">
        <is>
          <t>EUA</t>
        </is>
      </c>
      <c r="L99" s="26" t="inlineStr">
        <is>
          <t>Derivado</t>
        </is>
      </c>
      <c r="M99" s="26" t="inlineStr"/>
    </row>
    <row r="100">
      <c r="A100" s="25" t="inlineStr">
        <is>
          <t>US-095</t>
        </is>
      </c>
      <c r="B100" s="26" t="inlineStr">
        <is>
          <t>Risco &amp; Mercado</t>
        </is>
      </c>
      <c r="C100" s="26" t="inlineStr">
        <is>
          <t>Recessão</t>
        </is>
      </c>
      <c r="D100" s="27" t="inlineStr">
        <is>
          <t>Recession probability (Piger)</t>
        </is>
      </c>
      <c r="E100" s="26" t="inlineStr">
        <is>
          <t>FRED</t>
        </is>
      </c>
      <c r="F100" s="26" t="inlineStr">
        <is>
          <t>RECPROUSM156N</t>
        </is>
      </c>
      <c r="G100" s="26" t="inlineStr">
        <is>
          <t>Mensal</t>
        </is>
      </c>
      <c r="H100" s="26" t="inlineStr">
        <is>
          <t>%</t>
        </is>
      </c>
      <c r="I100" s="26" t="inlineStr">
        <is>
          <t>Taxa</t>
        </is>
      </c>
      <c r="J100" s="26" t="inlineStr">
        <is>
          <t>Nível, Δ p.p. (MoM, YoY, 3/6/12m)</t>
        </is>
      </c>
      <c r="K100" s="26" t="inlineStr">
        <is>
          <t>EUA</t>
        </is>
      </c>
      <c r="L100" s="26" t="inlineStr">
        <is>
          <t>Verificado</t>
        </is>
      </c>
      <c r="M100" s="26" t="inlineStr"/>
    </row>
    <row r="101">
      <c r="A101" s="25" t="inlineStr">
        <is>
          <t>US-096</t>
        </is>
      </c>
      <c r="B101" s="26" t="inlineStr">
        <is>
          <t>Risco &amp; Mercado</t>
        </is>
      </c>
      <c r="C101" s="26" t="inlineStr">
        <is>
          <t>Bolsa</t>
        </is>
      </c>
      <c r="D101" s="27" t="inlineStr">
        <is>
          <t>Russell 2000</t>
        </is>
      </c>
      <c r="E101" s="26" t="inlineStr">
        <is>
          <t>FMP</t>
        </is>
      </c>
      <c r="F101" s="26" t="inlineStr">
        <is>
          <t>^RUT / IWM</t>
        </is>
      </c>
      <c r="G101" s="26" t="inlineStr">
        <is>
          <t>Diária</t>
        </is>
      </c>
      <c r="H101" s="26" t="inlineStr">
        <is>
          <t>Pontos</t>
        </is>
      </c>
      <c r="I101" s="26" t="inlineStr">
        <is>
          <t>Índice</t>
        </is>
      </c>
      <c r="J101" s="26" t="inlineStr">
        <is>
          <t>Nível, MoM, QoQ, YoY, acum. 3/6/9/12m, 3m/6m SAAR, real/nominal</t>
        </is>
      </c>
      <c r="K101" s="26" t="inlineStr">
        <is>
          <t>EUA</t>
        </is>
      </c>
      <c r="L101" s="26" t="inlineStr">
        <is>
          <t>Confirmar</t>
        </is>
      </c>
      <c r="M101" s="26" t="inlineStr">
        <is>
          <t>Não está no FRED</t>
        </is>
      </c>
    </row>
  </sheetData>
  <autoFilter ref="A5:M101"/>
  <conditionalFormatting sqref="L6:L301">
    <cfRule type="expression" priority="1" dxfId="0">
      <formula>$L6="Verificado"</formula>
    </cfRule>
    <cfRule type="expression" priority="2" dxfId="1">
      <formula>$L6="Confirmar"</formula>
    </cfRule>
    <cfRule type="expression" priority="3" dxfId="2">
      <formula>$L6="A mapear"</formula>
    </cfRule>
    <cfRule type="expression" priority="4" dxfId="3">
      <formula>$L6="Sem API"</formula>
    </cfRule>
    <cfRule type="expression" priority="5" dxfId="4">
      <formula>$L6="Pago"</formula>
    </cfRule>
    <cfRule type="expression" priority="6" dxfId="5">
      <formula>$L6="Derivado"</formula>
    </cfRule>
    <cfRule type="expression" priority="7" dxfId="6">
      <formula>$L6="Curado"</formula>
    </cfRule>
  </conditionalFormatting>
  <conditionalFormatting sqref="K6:K301">
    <cfRule type="expression" priority="8" dxfId="7">
      <formula>$K6="MVP"</formula>
    </cfRule>
  </conditionalFormatting>
  <dataValidations count="2">
    <dataValidation sqref="K6:K301" showDropDown="0" showInputMessage="0" showErrorMessage="0" allowBlank="1" type="list">
      <formula1>"MVP,EUA,v2,v3"</formula1>
    </dataValidation>
    <dataValidation sqref="L6:L301" showDropDown="0" showInputMessage="0" showErrorMessage="0" allowBlank="1" type="list">
      <formula1>"Verificado,Confirmar,A mapear,Sem API,Pago,Derivado,Curado"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  <col width="36" customWidth="1" min="4" max="4"/>
    <col width="8" customWidth="1" min="5" max="5"/>
    <col width="46" customWidth="1" min="6" max="6"/>
  </cols>
  <sheetData>
    <row r="1" ht="26" customHeight="1">
      <c r="A1" s="1" t="inlineStr">
        <is>
          <t>Aba Central — Command Center e notícias</t>
        </is>
      </c>
    </row>
    <row r="2">
      <c r="A2" s="2" t="inlineStr">
        <is>
          <t>O que aparece na primeira tela e de onde vem.</t>
        </is>
      </c>
    </row>
    <row r="3" ht="3" customHeight="1">
      <c r="A3" s="3" t="n"/>
      <c r="B3" s="3" t="n"/>
      <c r="C3" s="3" t="n"/>
      <c r="D3" s="3" t="n"/>
      <c r="E3" s="3" t="n"/>
      <c r="F3" s="3" t="n"/>
    </row>
    <row r="5" ht="28" customHeight="1">
      <c r="A5" s="24" t="inlineStr">
        <is>
          <t>Bloco</t>
        </is>
      </c>
      <c r="B5" s="24" t="inlineStr">
        <is>
          <t>Componente</t>
        </is>
      </c>
      <c r="C5" s="24" t="inlineStr">
        <is>
          <t>Conteúdo</t>
        </is>
      </c>
      <c r="D5" s="24" t="inlineStr">
        <is>
          <t>Fonte</t>
        </is>
      </c>
      <c r="E5" s="24" t="inlineStr">
        <is>
          <t>Fase</t>
        </is>
      </c>
      <c r="F5" s="24" t="inlineStr">
        <is>
          <t>Observação</t>
        </is>
      </c>
    </row>
    <row r="6">
      <c r="A6" s="26" t="inlineStr">
        <is>
          <t>Faixa de mercado</t>
        </is>
      </c>
      <c r="B6" s="26" t="inlineStr">
        <is>
          <t>Ticker no topo</t>
        </is>
      </c>
      <c r="C6" s="26" t="inlineStr">
        <is>
          <t>Ibovespa, USD/BRL, S&amp;P 500, UST 10Y, Broad Dollar, Brent, ouro, VIX</t>
        </is>
      </c>
      <c r="D6" s="26" t="inlineStr">
        <is>
          <t>FMP + FRED + BCB SGS</t>
        </is>
      </c>
      <c r="E6" s="26" t="inlineStr">
        <is>
          <t>MVP</t>
        </is>
      </c>
      <c r="F6" s="26" t="inlineStr">
        <is>
          <t>Atualização diária; intraday só com plano pago</t>
        </is>
      </c>
    </row>
    <row r="7">
      <c r="A7" s="26" t="inlineStr">
        <is>
          <t>Regime</t>
        </is>
      </c>
      <c r="B7" s="26" t="inlineStr">
        <is>
          <t>Cartões Brasil</t>
        </is>
      </c>
      <c r="C7" s="26" t="inlineStr">
        <is>
          <t>Selic × neutro implícito, IPCA 12m × meta, desocupação, Focus IPCA/Selic</t>
        </is>
      </c>
      <c r="D7" s="26" t="inlineStr">
        <is>
          <t>Abas Brasil (derivados)</t>
        </is>
      </c>
      <c r="E7" s="26" t="inlineStr">
        <is>
          <t>MVP</t>
        </is>
      </c>
      <c r="F7" s="26" t="inlineStr">
        <is>
          <t>Cada cartão leva à aba de origem</t>
        </is>
      </c>
    </row>
    <row r="8">
      <c r="A8" s="26" t="inlineStr">
        <is>
          <t>Regime</t>
        </is>
      </c>
      <c r="B8" s="26" t="inlineStr">
        <is>
          <t>Cartões EUA</t>
        </is>
      </c>
      <c r="C8" s="26" t="inlineStr">
        <is>
          <t>Fed funds, Core PCE, desemprego, curva 10y-2y, GDPNow</t>
        </is>
      </c>
      <c r="D8" s="26" t="inlineStr">
        <is>
          <t>Aba EUA</t>
        </is>
      </c>
      <c r="E8" s="26" t="inlineStr">
        <is>
          <t>EUA</t>
        </is>
      </c>
      <c r="F8" s="26" t="inlineStr"/>
    </row>
    <row r="9">
      <c r="A9" s="26" t="inlineStr">
        <is>
          <t>Agenda</t>
        </is>
      </c>
      <c r="B9" s="26" t="inlineStr">
        <is>
          <t>Próximos 7 dias</t>
        </is>
      </c>
      <c r="C9" s="26" t="inlineStr">
        <is>
          <t>Divulgações do IBGE, BCB, BLS/BEA; reuniões de Copom e FOMC</t>
        </is>
      </c>
      <c r="D9" s="26" t="inlineStr">
        <is>
          <t>IBGE API de calendário + FRED releases + curado</t>
        </is>
      </c>
      <c r="E9" s="26" t="inlineStr">
        <is>
          <t>MVP</t>
        </is>
      </c>
      <c r="F9" s="26" t="inlineStr">
        <is>
          <t>Calendário de Copom/FOMC curado manualmente</t>
        </is>
      </c>
    </row>
    <row r="10">
      <c r="A10" s="26" t="inlineStr">
        <is>
          <t>Última divulgação</t>
        </is>
      </c>
      <c r="B10" s="26" t="inlineStr">
        <is>
          <t>O que saiu</t>
        </is>
      </c>
      <c r="C10" s="26" t="inlineStr">
        <is>
          <t>Último dado × anterior × Focus (quando houver)</t>
        </is>
      </c>
      <c r="D10" s="26" t="inlineStr">
        <is>
          <t>Derivado</t>
        </is>
      </c>
      <c r="E10" s="26" t="inlineStr">
        <is>
          <t>MVP</t>
        </is>
      </c>
      <c r="F10" s="26" t="inlineStr">
        <is>
          <t>Consenso para os EUA não tem fonte gratuita</t>
        </is>
      </c>
    </row>
    <row r="11">
      <c r="A11" s="26" t="inlineStr">
        <is>
          <t>Notícias</t>
        </is>
      </c>
      <c r="B11" s="26" t="inlineStr">
        <is>
          <t>Feed oficial</t>
        </is>
      </c>
      <c r="C11" s="26" t="inlineStr">
        <is>
          <t>Comunicados e notas de BCB, Fed, Tesouro, IBGE (Agência de Notícias)</t>
        </is>
      </c>
      <c r="D11" s="26" t="inlineStr">
        <is>
          <t>RSS oficiais</t>
        </is>
      </c>
      <c r="E11" s="26" t="inlineStr">
        <is>
          <t>MVP</t>
        </is>
      </c>
      <c r="F11" s="26" t="inlineStr">
        <is>
          <t>Fonte primária, zero risco jurídico</t>
        </is>
      </c>
    </row>
    <row r="12">
      <c r="A12" s="26" t="inlineStr">
        <is>
          <t>Notícias</t>
        </is>
      </c>
      <c r="B12" s="26" t="inlineStr">
        <is>
          <t>Feed de imprensa</t>
        </is>
      </c>
      <c r="C12" s="26" t="inlineStr">
        <is>
          <t>Manchetes de veículos selecionados (título + link)</t>
        </is>
      </c>
      <c r="D12" s="26" t="inlineStr">
        <is>
          <t>RSS de veículos + Google News RSS por consulta</t>
        </is>
      </c>
      <c r="E12" s="26" t="inlineStr">
        <is>
          <t>MVP</t>
        </is>
      </c>
      <c r="F12" s="26" t="inlineStr">
        <is>
          <t>Só título, fonte e link; marcação por país/tema via palavra-chave</t>
        </is>
      </c>
    </row>
    <row r="13">
      <c r="A13" s="26" t="inlineStr">
        <is>
          <t>Notícias</t>
        </is>
      </c>
      <c r="B13" s="26" t="inlineStr">
        <is>
          <t>Eventos globais</t>
        </is>
      </c>
      <c r="C13" s="26" t="inlineStr">
        <is>
          <t>Volume de notícias por país/tema (geopolítica)</t>
        </is>
      </c>
      <c r="D13" s="26" t="inlineStr">
        <is>
          <t>GDELT DOC API</t>
        </is>
      </c>
      <c r="E13" s="26" t="inlineStr">
        <is>
          <t>v2</t>
        </is>
      </c>
      <c r="F13" s="26" t="inlineStr"/>
    </row>
    <row r="14">
      <c r="A14" s="26" t="inlineStr">
        <is>
          <t>Notícias</t>
        </is>
      </c>
      <c r="B14" s="26" t="inlineStr">
        <is>
          <t>Resumo do dia</t>
        </is>
      </c>
      <c r="C14" s="26" t="inlineStr">
        <is>
          <t>Síntese automática das notícias por tema</t>
        </is>
      </c>
      <c r="D14" s="26" t="inlineStr">
        <is>
          <t>Claude API (modelo leve)</t>
        </is>
      </c>
      <c r="E14" s="26" t="inlineStr">
        <is>
          <t>v2</t>
        </is>
      </c>
      <c r="F14" s="26" t="inlineStr">
        <is>
          <t>Custo de API: alguns US$/mês</t>
        </is>
      </c>
    </row>
    <row r="15">
      <c r="A15" s="26" t="inlineStr">
        <is>
          <t>Monitor</t>
        </is>
      </c>
      <c r="B15" s="26" t="inlineStr">
        <is>
          <t>Saúde dos dados</t>
        </is>
      </c>
      <c r="C15" s="26" t="inlineStr">
        <is>
          <t>Fontes com falha ou atrasadas</t>
        </is>
      </c>
      <c r="D15" s="26" t="inlineStr">
        <is>
          <t>Tabela ingestion_runs</t>
        </is>
      </c>
      <c r="E15" s="26" t="inlineStr">
        <is>
          <t>MVP</t>
        </is>
      </c>
      <c r="F15" s="26" t="inlineStr"/>
    </row>
    <row r="16">
      <c r="A16" s="26" t="inlineStr">
        <is>
          <t>Monitor</t>
        </is>
      </c>
      <c r="B16" s="26" t="inlineStr">
        <is>
          <t>Teses</t>
        </is>
      </c>
      <c r="C16" s="26" t="inlineStr">
        <is>
          <t>Teses ativas e gatilhos próximos de disparar</t>
        </is>
      </c>
      <c r="D16" s="26" t="inlineStr">
        <is>
          <t>Aba Teses</t>
        </is>
      </c>
      <c r="E16" s="26" t="inlineStr">
        <is>
          <t>v2</t>
        </is>
      </c>
      <c r="F16" s="26" t="inlineStr"/>
    </row>
    <row r="17">
      <c r="A17" s="26" t="inlineStr">
        <is>
          <t>Monitor</t>
        </is>
      </c>
      <c r="B17" s="26" t="inlineStr">
        <is>
          <t>Alertas</t>
        </is>
      </c>
      <c r="C17" s="26" t="inlineStr">
        <is>
          <t>Alertas disparados nas últimas 24h</t>
        </is>
      </c>
      <c r="D17" s="26" t="inlineStr">
        <is>
          <t>Motor de alertas</t>
        </is>
      </c>
      <c r="E17" s="26" t="inlineStr">
        <is>
          <t>v3</t>
        </is>
      </c>
      <c r="F17" s="26" t="inlineStr"/>
    </row>
  </sheetData>
  <autoFilter ref="A5:F17"/>
  <dataValidations count="1">
    <dataValidation sqref="E6:E100" showDropDown="0" showInputMessage="0" showErrorMessage="0" allowBlank="1" type="list">
      <formula1>"MVP,EUA,v2,v3"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22" customWidth="1" min="3" max="3"/>
    <col width="56" customWidth="1" min="4" max="4"/>
    <col width="13" customWidth="1" min="5" max="5"/>
    <col width="14" customWidth="1" min="6" max="6"/>
  </cols>
  <sheetData>
    <row r="1" ht="26" customHeight="1">
      <c r="A1" s="1" t="inlineStr">
        <is>
          <t>Registro de fontes</t>
        </is>
      </c>
    </row>
    <row r="2">
      <c r="A2" s="2" t="inlineStr">
        <is>
          <t>Cada fonte vira um adapter isolado no pipeline.</t>
        </is>
      </c>
    </row>
    <row r="3" ht="3" customHeight="1">
      <c r="A3" s="3" t="n"/>
      <c r="B3" s="3" t="n"/>
      <c r="C3" s="3" t="n"/>
      <c r="D3" s="3" t="n"/>
      <c r="E3" s="3" t="n"/>
      <c r="F3" s="3" t="n"/>
    </row>
    <row r="5" ht="28" customHeight="1">
      <c r="A5" s="24" t="inlineStr">
        <is>
          <t>Fonte</t>
        </is>
      </c>
      <c r="B5" s="24" t="inlineStr">
        <is>
          <t>Acesso</t>
        </is>
      </c>
      <c r="C5" s="24" t="inlineStr">
        <is>
          <t>Autenticação</t>
        </is>
      </c>
      <c r="D5" s="24" t="inlineStr">
        <is>
          <t>Limite / observação</t>
        </is>
      </c>
      <c r="E5" s="24" t="inlineStr">
        <is>
          <t>Risco técnico</t>
        </is>
      </c>
      <c r="F5" s="24" t="inlineStr">
        <is>
          <t>Custo</t>
        </is>
      </c>
    </row>
    <row r="6">
      <c r="A6" s="26" t="inlineStr">
        <is>
          <t>BCB SGS</t>
        </is>
      </c>
      <c r="B6" s="26" t="inlineStr">
        <is>
          <t>REST JSON/CSV (api.bcb.gov.br)</t>
        </is>
      </c>
      <c r="C6" s="26" t="inlineStr">
        <is>
          <t>Nenhuma</t>
        </is>
      </c>
      <c r="D6" s="26" t="inlineStr">
        <is>
          <t>Séries diárias: máx. 10 anos por consulta (fatiar janela)</t>
        </is>
      </c>
      <c r="E6" s="28" t="inlineStr">
        <is>
          <t>Médio</t>
        </is>
      </c>
      <c r="F6" s="26" t="inlineStr">
        <is>
          <t>Grátis</t>
        </is>
      </c>
    </row>
    <row r="7">
      <c r="A7" s="26" t="inlineStr">
        <is>
          <t>BCB Olinda — Focus</t>
        </is>
      </c>
      <c r="B7" s="26" t="inlineStr">
        <is>
          <t>OData REST</t>
        </is>
      </c>
      <c r="C7" s="26" t="inlineStr">
        <is>
          <t>Nenhuma</t>
        </is>
      </c>
      <c r="D7" s="26" t="inlineStr">
        <is>
          <t>Filtros OData obrigatórios para volume grande</t>
        </is>
      </c>
      <c r="E7" s="28" t="inlineStr">
        <is>
          <t>Médio</t>
        </is>
      </c>
      <c r="F7" s="26" t="inlineStr">
        <is>
          <t>Grátis</t>
        </is>
      </c>
    </row>
    <row r="8">
      <c r="A8" s="26" t="inlineStr">
        <is>
          <t>BCB Portal de Dados Abertos</t>
        </is>
      </c>
      <c r="B8" s="26" t="inlineStr">
        <is>
          <t>Site / CKAN</t>
        </is>
      </c>
      <c r="C8" s="26" t="inlineStr">
        <is>
          <t>Nenhuma</t>
        </is>
      </c>
      <c r="D8" s="26" t="inlineStr">
        <is>
          <t>Limita requisições em rajada (429 observado)</t>
        </is>
      </c>
      <c r="E8" s="28" t="inlineStr">
        <is>
          <t>Médio</t>
        </is>
      </c>
      <c r="F8" s="26" t="inlineStr">
        <is>
          <t>Grátis</t>
        </is>
      </c>
    </row>
    <row r="9">
      <c r="A9" s="26" t="inlineStr">
        <is>
          <t>IBGE SIDRA</t>
        </is>
      </c>
      <c r="B9" s="26" t="inlineStr">
        <is>
          <t>REST (apisidra.ibge.gov.br)</t>
        </is>
      </c>
      <c r="C9" s="26" t="inlineStr">
        <is>
          <t>Nenhuma</t>
        </is>
      </c>
      <c r="D9" s="26" t="inlineStr">
        <is>
          <t>Sintaxe verbosa; tabelas mudam de número em revisões de base</t>
        </is>
      </c>
      <c r="E9" s="28" t="inlineStr">
        <is>
          <t>Médio</t>
        </is>
      </c>
      <c r="F9" s="26" t="inlineStr">
        <is>
          <t>Grátis</t>
        </is>
      </c>
    </row>
    <row r="10">
      <c r="A10" s="26" t="inlineStr">
        <is>
          <t>IBGE API de calendário</t>
        </is>
      </c>
      <c r="B10" s="26" t="inlineStr">
        <is>
          <t>REST (servicodados.ibge.gov.br)</t>
        </is>
      </c>
      <c r="C10" s="26" t="inlineStr">
        <is>
          <t>Nenhuma</t>
        </is>
      </c>
      <c r="D10" s="26" t="inlineStr">
        <is>
          <t>Agenda de divulgações</t>
        </is>
      </c>
      <c r="E10" s="29" t="inlineStr">
        <is>
          <t>Baixo</t>
        </is>
      </c>
      <c r="F10" s="26" t="inlineStr">
        <is>
          <t>Grátis</t>
        </is>
      </c>
    </row>
    <row r="11">
      <c r="A11" s="26" t="inlineStr">
        <is>
          <t>ComexStat (MDIC)</t>
        </is>
      </c>
      <c r="B11" s="26" t="inlineStr">
        <is>
          <t>REST</t>
        </is>
      </c>
      <c r="C11" s="26" t="inlineStr">
        <is>
          <t>Nenhuma</t>
        </is>
      </c>
      <c r="D11" s="26" t="inlineStr">
        <is>
          <t>Consultas por NCM, país, período</t>
        </is>
      </c>
      <c r="E11" s="28" t="inlineStr">
        <is>
          <t>Médio</t>
        </is>
      </c>
      <c r="F11" s="26" t="inlineStr">
        <is>
          <t>Grátis</t>
        </is>
      </c>
    </row>
    <row r="12">
      <c r="A12" s="26" t="inlineStr">
        <is>
          <t>Tesouro Transparente</t>
        </is>
      </c>
      <c r="B12" s="26" t="inlineStr">
        <is>
          <t>API Séries Temporais (RTN, JSON) · CKAN / xlsx</t>
        </is>
      </c>
      <c r="C12" s="26" t="inlineStr">
        <is>
          <t>Nenhuma</t>
        </is>
      </c>
      <c r="D12" s="26" t="inlineStr">
        <is>
          <t>RTN por API JSON paginada (decisão 0010); RMD ainda em planilha</t>
        </is>
      </c>
      <c r="E12" s="29" t="inlineStr">
        <is>
          <t>Baixo</t>
        </is>
      </c>
      <c r="F12" s="26" t="inlineStr">
        <is>
          <t>Grátis</t>
        </is>
      </c>
    </row>
    <row r="13">
      <c r="A13" s="26" t="inlineStr">
        <is>
          <t>Ipeadata</t>
        </is>
      </c>
      <c r="B13" s="26" t="inlineStr">
        <is>
          <t>OData REST</t>
        </is>
      </c>
      <c r="C13" s="26" t="inlineStr">
        <is>
          <t>Nenhuma</t>
        </is>
      </c>
      <c r="D13" s="26" t="inlineStr">
        <is>
          <t>Agrega séries de terceiros; conferir atualização</t>
        </is>
      </c>
      <c r="E13" s="28" t="inlineStr">
        <is>
          <t>Médio</t>
        </is>
      </c>
      <c r="F13" s="26" t="inlineStr">
        <is>
          <t>Grátis</t>
        </is>
      </c>
    </row>
    <row r="14">
      <c r="A14" s="26" t="inlineStr">
        <is>
          <t>Câmara / Senado Dados Abertos</t>
        </is>
      </c>
      <c r="B14" s="26" t="inlineStr">
        <is>
          <t>REST</t>
        </is>
      </c>
      <c r="C14" s="26" t="inlineStr">
        <is>
          <t>Nenhuma</t>
        </is>
      </c>
      <c r="D14" s="26" t="inlineStr">
        <is>
          <t>—</t>
        </is>
      </c>
      <c r="E14" s="29" t="inlineStr">
        <is>
          <t>Baixo</t>
        </is>
      </c>
      <c r="F14" s="26" t="inlineStr">
        <is>
          <t>Grátis</t>
        </is>
      </c>
    </row>
    <row r="15">
      <c r="A15" s="26" t="inlineStr">
        <is>
          <t>TSE Dados Abertos</t>
        </is>
      </c>
      <c r="B15" s="26" t="inlineStr">
        <is>
          <t>CSV</t>
        </is>
      </c>
      <c r="C15" s="26" t="inlineStr">
        <is>
          <t>Nenhuma</t>
        </is>
      </c>
      <c r="D15" s="26" t="inlineStr">
        <is>
          <t>Arquivos grandes por eleição</t>
        </is>
      </c>
      <c r="E15" s="29" t="inlineStr">
        <is>
          <t>Baixo</t>
        </is>
      </c>
      <c r="F15" s="26" t="inlineStr">
        <is>
          <t>Grátis</t>
        </is>
      </c>
    </row>
    <row r="16">
      <c r="A16" s="26" t="inlineStr">
        <is>
          <t>ANBIMA / B3</t>
        </is>
      </c>
      <c r="B16" s="26" t="inlineStr">
        <is>
          <t>Arquivos diários no site</t>
        </is>
      </c>
      <c r="C16" s="26" t="inlineStr">
        <is>
          <t>Nenhuma (API ANBIMA é paga)</t>
        </is>
      </c>
      <c r="D16" s="26" t="inlineStr">
        <is>
          <t>Formatos mudam sem aviso</t>
        </is>
      </c>
      <c r="E16" s="30" t="inlineStr">
        <is>
          <t>Alto</t>
        </is>
      </c>
      <c r="F16" s="26" t="inlineStr">
        <is>
          <t>Grátis / pago</t>
        </is>
      </c>
    </row>
    <row r="17">
      <c r="A17" s="26" t="inlineStr">
        <is>
          <t>FRED / ALFRED</t>
        </is>
      </c>
      <c r="B17" s="26" t="inlineStr">
        <is>
          <t>REST</t>
        </is>
      </c>
      <c r="C17" s="26" t="inlineStr">
        <is>
          <t>Chave grátis</t>
        </is>
      </c>
      <c r="D17" s="26" t="inlineStr">
        <is>
          <t>120 req/min; vintages via ALFRED</t>
        </is>
      </c>
      <c r="E17" s="29" t="inlineStr">
        <is>
          <t>Baixo</t>
        </is>
      </c>
      <c r="F17" s="26" t="inlineStr">
        <is>
          <t>Grátis</t>
        </is>
      </c>
    </row>
    <row r="18">
      <c r="A18" s="26" t="inlineStr">
        <is>
          <t>BEA / Census / BLS</t>
        </is>
      </c>
      <c r="B18" s="26" t="inlineStr">
        <is>
          <t>REST</t>
        </is>
      </c>
      <c r="C18" s="26" t="inlineStr">
        <is>
          <t>Chave grátis</t>
        </is>
      </c>
      <c r="D18" s="26" t="inlineStr">
        <is>
          <t>BLS: limite diário por chave</t>
        </is>
      </c>
      <c r="E18" s="29" t="inlineStr">
        <is>
          <t>Baixo</t>
        </is>
      </c>
      <c r="F18" s="26" t="inlineStr">
        <is>
          <t>Grátis</t>
        </is>
      </c>
    </row>
    <row r="19">
      <c r="A19" s="26" t="inlineStr">
        <is>
          <t>Financial Modeling Prep</t>
        </is>
      </c>
      <c r="B19" s="26" t="inlineStr">
        <is>
          <t>REST</t>
        </is>
      </c>
      <c r="C19" s="26" t="inlineStr">
        <is>
          <t>Chave</t>
        </is>
      </c>
      <c r="D19" s="26" t="inlineStr">
        <is>
          <t>Grátis 250 chamadas/dia, só ações dos EUA: Ibovespa e EWZ dão HTTP 402. Fora do MVP</t>
        </is>
      </c>
      <c r="E19" s="29" t="inlineStr">
        <is>
          <t>Baixo</t>
        </is>
      </c>
      <c r="F19" s="26" t="inlineStr">
        <is>
          <t>Grátis / pago</t>
        </is>
      </c>
    </row>
    <row r="20">
      <c r="A20" s="26" t="inlineStr">
        <is>
          <t>GDELT</t>
        </is>
      </c>
      <c r="B20" s="26" t="inlineStr">
        <is>
          <t>REST</t>
        </is>
      </c>
      <c r="C20" s="26" t="inlineStr">
        <is>
          <t>Nenhuma</t>
        </is>
      </c>
      <c r="D20" s="26" t="inlineStr">
        <is>
          <t>Volume alto; filtrar por tema/país</t>
        </is>
      </c>
      <c r="E20" s="28" t="inlineStr">
        <is>
          <t>Médio</t>
        </is>
      </c>
      <c r="F20" s="26" t="inlineStr">
        <is>
          <t>Grátis</t>
        </is>
      </c>
    </row>
    <row r="21">
      <c r="A21" s="26" t="inlineStr">
        <is>
          <t>RSS (BCB, Fed, IBGE, imprensa)</t>
        </is>
      </c>
      <c r="B21" s="26" t="inlineStr">
        <is>
          <t>RSS/Atom</t>
        </is>
      </c>
      <c r="C21" s="26" t="inlineStr">
        <is>
          <t>Nenhuma</t>
        </is>
      </c>
      <c r="D21" s="26" t="inlineStr">
        <is>
          <t>Exibir só título + link de veículos de imprensa</t>
        </is>
      </c>
      <c r="E21" s="29" t="inlineStr">
        <is>
          <t>Baixo</t>
        </is>
      </c>
      <c r="F21" s="26" t="inlineStr">
        <is>
          <t>Grátis</t>
        </is>
      </c>
    </row>
    <row r="22">
      <c r="A22" s="26" t="inlineStr">
        <is>
          <t>Claude API</t>
        </is>
      </c>
      <c r="B22" s="26" t="inlineStr">
        <is>
          <t>REST</t>
        </is>
      </c>
      <c r="C22" s="26" t="inlineStr">
        <is>
          <t>Chave</t>
        </is>
      </c>
      <c r="D22" s="26" t="inlineStr">
        <is>
          <t>Para resumo de notícias e análise de texto (v2+)</t>
        </is>
      </c>
      <c r="E22" s="29" t="inlineStr">
        <is>
          <t>Baixo</t>
        </is>
      </c>
      <c r="F22" s="26" t="inlineStr">
        <is>
          <t>Pago por uso</t>
        </is>
      </c>
    </row>
    <row r="23">
      <c r="A23" s="26" t="inlineStr">
        <is>
          <t>B3 (IndexCall)</t>
        </is>
      </c>
      <c r="B23" s="26" t="inlineStr">
        <is>
          <t>JSON (sistemaswebb3-listados.b3.com.br)</t>
        </is>
      </c>
      <c r="C23" s="26" t="inlineStr">
        <is>
          <t>Nenhuma</t>
        </is>
      </c>
      <c r="D23" s="26" t="inlineStr">
        <is>
          <t>Endpoint do site da B3, não documentado; fechamentos diários por ano</t>
        </is>
      </c>
      <c r="E23" s="28" t="inlineStr">
        <is>
          <t>Médio</t>
        </is>
      </c>
      <c r="F23" s="26" t="inlineStr">
        <is>
          <t>Grátis</t>
        </is>
      </c>
    </row>
    <row r="24">
      <c r="A24" s="26" t="inlineStr">
        <is>
          <t>Yahoo Finance</t>
        </is>
      </c>
      <c r="B24" s="26" t="inlineStr">
        <is>
          <t>JSON (query1.finance.yahoo.com)</t>
        </is>
      </c>
      <c r="C24" s="26" t="inlineStr">
        <is>
          <t>Nenhuma</t>
        </is>
      </c>
      <c r="D24" s="26" t="inlineStr">
        <is>
          <t>Não oficial; só como alternativa</t>
        </is>
      </c>
      <c r="E24" s="30" t="inlineStr">
        <is>
          <t>Alto</t>
        </is>
      </c>
      <c r="F24" s="26" t="inlineStr">
        <is>
          <t>Grátis</t>
        </is>
      </c>
    </row>
    <row r="25">
      <c r="A25" s="26" t="inlineStr">
        <is>
          <t>BCB site (API Copom)</t>
        </is>
      </c>
      <c r="B25" s="26" t="inlineStr">
        <is>
          <t>JSON (www.bcb.gov.br/api/servico/sitebcb)</t>
        </is>
      </c>
      <c r="C25" s="26" t="inlineStr">
        <is>
          <t>Nenhuma</t>
        </is>
      </c>
      <c r="D25" s="26" t="inlineStr">
        <is>
          <t>Não documentada; comunicados e atas do Copom</t>
        </is>
      </c>
      <c r="E25" s="28" t="inlineStr">
        <is>
          <t>Médio</t>
        </is>
      </c>
      <c r="F25" s="26" t="inlineStr">
        <is>
          <t>Grátis</t>
        </is>
      </c>
    </row>
  </sheetData>
  <autoFilter ref="A5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2026-10-19T15:40:27Z</dcterms:created>
  <dcterms:modified xsi:type="dcterms:W3CDTF">2026-10-19T15:40:27Z</dcterms:modified>
</cp:coreProperties>
</file>