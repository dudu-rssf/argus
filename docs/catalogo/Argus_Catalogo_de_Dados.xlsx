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'Brasil'!$A$5:$M$138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COUNTIFS(Brasil!$B$6:$B$138,$A7,Brasil!$K$6:$K$138,"MVP")</f>
        <v/>
      </c>
      <c r="C7" s="16">
        <f>COUNTIFS(Brasil!$B$6:$B$138,$A7,Brasil!$K$6:$K$138,"EUA")</f>
        <v/>
      </c>
      <c r="D7" s="16">
        <f>COUNTIFS(Brasil!$B$6:$B$138,$A7,Brasil!$K$6:$K$138,"v2")</f>
        <v/>
      </c>
      <c r="E7" s="16">
        <f>COUNTIFS(Brasil!$B$6:$B$138,$A7,Brasil!$K$6:$K$138,"v3")</f>
        <v/>
      </c>
      <c r="F7" s="6">
        <f>SUM(B7:E7)</f>
        <v/>
      </c>
      <c r="H7" s="17" t="inlineStr">
        <is>
          <t>Verificado</t>
        </is>
      </c>
      <c r="I7" s="16">
        <f>COUNTIF(Brasil!$L$6:$L$138,H7)</f>
        <v/>
      </c>
    </row>
    <row r="8">
      <c r="A8" s="16" t="inlineStr">
        <is>
          <t>Mercado de Trabalho</t>
        </is>
      </c>
      <c r="B8" s="16">
        <f>COUNTIFS(Brasil!$B$6:$B$138,$A8,Brasil!$K$6:$K$138,"MVP")</f>
        <v/>
      </c>
      <c r="C8" s="16">
        <f>COUNTIFS(Brasil!$B$6:$B$138,$A8,Brasil!$K$6:$K$138,"EUA")</f>
        <v/>
      </c>
      <c r="D8" s="16">
        <f>COUNTIFS(Brasil!$B$6:$B$138,$A8,Brasil!$K$6:$K$138,"v2")</f>
        <v/>
      </c>
      <c r="E8" s="16">
        <f>COUNTIFS(Brasil!$B$6:$B$138,$A8,Brasil!$K$6:$K$138,"v3")</f>
        <v/>
      </c>
      <c r="F8" s="6">
        <f>SUM(B8:E8)</f>
        <v/>
      </c>
      <c r="H8" s="18" t="inlineStr">
        <is>
          <t>Confirmar</t>
        </is>
      </c>
      <c r="I8" s="16">
        <f>COUNTIF(Brasil!$L$6:$L$138,H8)</f>
        <v/>
      </c>
    </row>
    <row r="9">
      <c r="A9" s="16" t="inlineStr">
        <is>
          <t>Inflação</t>
        </is>
      </c>
      <c r="B9" s="16">
        <f>COUNTIFS(Brasil!$B$6:$B$138,$A9,Brasil!$K$6:$K$138,"MVP")</f>
        <v/>
      </c>
      <c r="C9" s="16">
        <f>COUNTIFS(Brasil!$B$6:$B$138,$A9,Brasil!$K$6:$K$138,"EUA")</f>
        <v/>
      </c>
      <c r="D9" s="16">
        <f>COUNTIFS(Brasil!$B$6:$B$138,$A9,Brasil!$K$6:$K$138,"v2")</f>
        <v/>
      </c>
      <c r="E9" s="16">
        <f>COUNTIFS(Brasil!$B$6:$B$138,$A9,Brasil!$K$6:$K$138,"v3")</f>
        <v/>
      </c>
      <c r="F9" s="6">
        <f>SUM(B9:E9)</f>
        <v/>
      </c>
      <c r="H9" s="19" t="inlineStr">
        <is>
          <t>A mapear</t>
        </is>
      </c>
      <c r="I9" s="16">
        <f>COUNTIF(Brasil!$L$6:$L$138,H9)</f>
        <v/>
      </c>
    </row>
    <row r="10">
      <c r="A10" s="16" t="inlineStr">
        <is>
          <t>Política Monetária</t>
        </is>
      </c>
      <c r="B10" s="16">
        <f>COUNTIFS(Brasil!$B$6:$B$138,$A10,Brasil!$K$6:$K$138,"MVP")</f>
        <v/>
      </c>
      <c r="C10" s="16">
        <f>COUNTIFS(Brasil!$B$6:$B$138,$A10,Brasil!$K$6:$K$138,"EUA")</f>
        <v/>
      </c>
      <c r="D10" s="16">
        <f>COUNTIFS(Brasil!$B$6:$B$138,$A10,Brasil!$K$6:$K$138,"v2")</f>
        <v/>
      </c>
      <c r="E10" s="16">
        <f>COUNTIFS(Brasil!$B$6:$B$138,$A10,Brasil!$K$6:$K$138,"v3")</f>
        <v/>
      </c>
      <c r="F10" s="6">
        <f>SUM(B10:E10)</f>
        <v/>
      </c>
      <c r="H10" s="20" t="inlineStr">
        <is>
          <t>Sem API</t>
        </is>
      </c>
      <c r="I10" s="16">
        <f>COUNTIF(Brasil!$L$6:$L$138,H10)</f>
        <v/>
      </c>
    </row>
    <row r="11">
      <c r="A11" s="16" t="inlineStr">
        <is>
          <t>Fiscal</t>
        </is>
      </c>
      <c r="B11" s="16">
        <f>COUNTIFS(Brasil!$B$6:$B$138,$A11,Brasil!$K$6:$K$138,"MVP")</f>
        <v/>
      </c>
      <c r="C11" s="16">
        <f>COUNTIFS(Brasil!$B$6:$B$138,$A11,Brasil!$K$6:$K$138,"EUA")</f>
        <v/>
      </c>
      <c r="D11" s="16">
        <f>COUNTIFS(Brasil!$B$6:$B$138,$A11,Brasil!$K$6:$K$138,"v2")</f>
        <v/>
      </c>
      <c r="E11" s="16">
        <f>COUNTIFS(Brasil!$B$6:$B$138,$A11,Brasil!$K$6:$K$138,"v3")</f>
        <v/>
      </c>
      <c r="F11" s="6">
        <f>SUM(B11:E11)</f>
        <v/>
      </c>
      <c r="H11" s="21" t="inlineStr">
        <is>
          <t>Pago</t>
        </is>
      </c>
      <c r="I11" s="16">
        <f>COUNTIF(Brasil!$L$6:$L$138,H11)</f>
        <v/>
      </c>
    </row>
    <row r="12">
      <c r="A12" s="16" t="inlineStr">
        <is>
          <t>Setor Externo</t>
        </is>
      </c>
      <c r="B12" s="16">
        <f>COUNTIFS(Brasil!$B$6:$B$138,$A12,Brasil!$K$6:$K$138,"MVP")</f>
        <v/>
      </c>
      <c r="C12" s="16">
        <f>COUNTIFS(Brasil!$B$6:$B$138,$A12,Brasil!$K$6:$K$138,"EUA")</f>
        <v/>
      </c>
      <c r="D12" s="16">
        <f>COUNTIFS(Brasil!$B$6:$B$138,$A12,Brasil!$K$6:$K$138,"v2")</f>
        <v/>
      </c>
      <c r="E12" s="16">
        <f>COUNTIFS(Brasil!$B$6:$B$138,$A12,Brasil!$K$6:$K$138,"v3")</f>
        <v/>
      </c>
      <c r="F12" s="6">
        <f>SUM(B12:E12)</f>
        <v/>
      </c>
      <c r="H12" s="22" t="inlineStr">
        <is>
          <t>Derivado</t>
        </is>
      </c>
      <c r="I12" s="16">
        <f>COUNTIF(Brasil!$L$6:$L$138,H12)</f>
        <v/>
      </c>
    </row>
    <row r="13">
      <c r="A13" s="16" t="inlineStr">
        <is>
          <t>Famílias</t>
        </is>
      </c>
      <c r="B13" s="16">
        <f>COUNTIFS(Brasil!$B$6:$B$138,$A13,Brasil!$K$6:$K$138,"MVP")</f>
        <v/>
      </c>
      <c r="C13" s="16">
        <f>COUNTIFS(Brasil!$B$6:$B$138,$A13,Brasil!$K$6:$K$138,"EUA")</f>
        <v/>
      </c>
      <c r="D13" s="16">
        <f>COUNTIFS(Brasil!$B$6:$B$138,$A13,Brasil!$K$6:$K$138,"v2")</f>
        <v/>
      </c>
      <c r="E13" s="16">
        <f>COUNTIFS(Brasil!$B$6:$B$138,$A13,Brasil!$K$6:$K$138,"v3")</f>
        <v/>
      </c>
      <c r="F13" s="6">
        <f>SUM(B13:E13)</f>
        <v/>
      </c>
      <c r="H13" s="23" t="inlineStr">
        <is>
          <t>Curado</t>
        </is>
      </c>
      <c r="I13" s="16">
        <f>COUNTIF(Brasil!$L$6:$L$138,H13)</f>
        <v/>
      </c>
    </row>
    <row r="14">
      <c r="A14" s="16" t="inlineStr">
        <is>
          <t>Empresas</t>
        </is>
      </c>
      <c r="B14" s="16">
        <f>COUNTIFS(Brasil!$B$6:$B$138,$A14,Brasil!$K$6:$K$138,"MVP")</f>
        <v/>
      </c>
      <c r="C14" s="16">
        <f>COUNTIFS(Brasil!$B$6:$B$138,$A14,Brasil!$K$6:$K$138,"EUA")</f>
        <v/>
      </c>
      <c r="D14" s="16">
        <f>COUNTIFS(Brasil!$B$6:$B$138,$A14,Brasil!$K$6:$K$138,"v2")</f>
        <v/>
      </c>
      <c r="E14" s="16">
        <f>COUNTIFS(Brasil!$B$6:$B$138,$A14,Brasil!$K$6:$K$138,"v3")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COUNTIFS(Brasil!$B$6:$B$138,$A15,Brasil!$K$6:$K$138,"MVP")</f>
        <v/>
      </c>
      <c r="C15" s="16">
        <f>COUNTIFS(Brasil!$B$6:$B$138,$A15,Brasil!$K$6:$K$138,"EUA")</f>
        <v/>
      </c>
      <c r="D15" s="16">
        <f>COUNTIFS(Brasil!$B$6:$B$138,$A15,Brasil!$K$6:$K$138,"v2")</f>
        <v/>
      </c>
      <c r="E15" s="16">
        <f>COUNTIFS(Brasil!$B$6:$B$138,$A15,Brasil!$K$6:$K$138,"v3")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COUNTIFS(Brasil!$B$6:$B$138,$A16,Brasil!$K$6:$K$138,"MVP")</f>
        <v/>
      </c>
      <c r="C16" s="16">
        <f>COUNTIFS(Brasil!$B$6:$B$138,$A16,Brasil!$K$6:$K$138,"EUA")</f>
        <v/>
      </c>
      <c r="D16" s="16">
        <f>COUNTIFS(Brasil!$B$6:$B$138,$A16,Brasil!$K$6:$K$138,"v2")</f>
        <v/>
      </c>
      <c r="E16" s="16">
        <f>COUNTIFS(Brasil!$B$6:$B$138,$A16,Brasil!$K$6:$K$138,"v3")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COUNTIFS(Brasil!$B$6:$B$138,$A17,Brasil!$K$6:$K$138,"MVP")</f>
        <v/>
      </c>
      <c r="C17" s="16">
        <f>COUNTIFS(Brasil!$B$6:$B$138,$A17,Brasil!$K$6:$K$138,"EUA")</f>
        <v/>
      </c>
      <c r="D17" s="16">
        <f>COUNTIFS(Brasil!$B$6:$B$138,$A17,Brasil!$K$6:$K$138,"v2")</f>
        <v/>
      </c>
      <c r="E17" s="16">
        <f>COUNTIFS(Brasil!$B$6:$B$138,$A17,Brasil!$K$6:$K$138,"v3")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Confirmar</t>
        </is>
      </c>
      <c r="M137" s="26" t="inlineStr">
        <is>
          <t>Insumo do juro neutro implícito (BR-117); sub-série por ano de referência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</sheetData>
  <autoFilter ref="A5:M138"/>
  <conditionalFormatting sqref="L6:L338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8">
    <cfRule type="expression" priority="8" dxfId="7">
      <formula>$K6="MVP"</formula>
    </cfRule>
  </conditionalFormatting>
  <dataValidations count="2">
    <dataValidation sqref="K6:K338" showDropDown="0" showInputMessage="0" showErrorMessage="0" allowBlank="1" type="list">
      <formula1>"MVP,EUA,v2,v3"</formula1>
    </dataValidation>
    <dataValidation sqref="L6:L338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2026-10-04T19:56:42Z</dcterms:created>
  <dcterms:modified xsi:type="dcterms:W3CDTF">2026-10-04T19:56:42Z</dcterms:modified>
</cp:coreProperties>
</file>