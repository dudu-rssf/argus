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'Brasil'!$A$5:$M$144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COUNTIFS(Brasil!$B$6:$B$144,$A7,Brasil!$K$6:$K$144,"MVP")</f>
        <v/>
      </c>
      <c r="C7" s="16">
        <f>COUNTIFS(Brasil!$B$6:$B$144,$A7,Brasil!$K$6:$K$144,"EUA")</f>
        <v/>
      </c>
      <c r="D7" s="16">
        <f>COUNTIFS(Brasil!$B$6:$B$144,$A7,Brasil!$K$6:$K$144,"v2")</f>
        <v/>
      </c>
      <c r="E7" s="16">
        <f>COUNTIFS(Brasil!$B$6:$B$144,$A7,Brasil!$K$6:$K$144,"v3")</f>
        <v/>
      </c>
      <c r="F7" s="6">
        <f>SUM(B7:E7)</f>
        <v/>
      </c>
      <c r="H7" s="17" t="inlineStr">
        <is>
          <t>Verificado</t>
        </is>
      </c>
      <c r="I7" s="16">
        <f>COUNTIF(Brasil!$L$6:$L$144,H7)</f>
        <v/>
      </c>
    </row>
    <row r="8">
      <c r="A8" s="16" t="inlineStr">
        <is>
          <t>Mercado de Trabalho</t>
        </is>
      </c>
      <c r="B8" s="16">
        <f>COUNTIFS(Brasil!$B$6:$B$144,$A8,Brasil!$K$6:$K$144,"MVP")</f>
        <v/>
      </c>
      <c r="C8" s="16">
        <f>COUNTIFS(Brasil!$B$6:$B$144,$A8,Brasil!$K$6:$K$144,"EUA")</f>
        <v/>
      </c>
      <c r="D8" s="16">
        <f>COUNTIFS(Brasil!$B$6:$B$144,$A8,Brasil!$K$6:$K$144,"v2")</f>
        <v/>
      </c>
      <c r="E8" s="16">
        <f>COUNTIFS(Brasil!$B$6:$B$144,$A8,Brasil!$K$6:$K$144,"v3")</f>
        <v/>
      </c>
      <c r="F8" s="6">
        <f>SUM(B8:E8)</f>
        <v/>
      </c>
      <c r="H8" s="18" t="inlineStr">
        <is>
          <t>Confirmar</t>
        </is>
      </c>
      <c r="I8" s="16">
        <f>COUNTIF(Brasil!$L$6:$L$144,H8)</f>
        <v/>
      </c>
    </row>
    <row r="9">
      <c r="A9" s="16" t="inlineStr">
        <is>
          <t>Inflação</t>
        </is>
      </c>
      <c r="B9" s="16">
        <f>COUNTIFS(Brasil!$B$6:$B$144,$A9,Brasil!$K$6:$K$144,"MVP")</f>
        <v/>
      </c>
      <c r="C9" s="16">
        <f>COUNTIFS(Brasil!$B$6:$B$144,$A9,Brasil!$K$6:$K$144,"EUA")</f>
        <v/>
      </c>
      <c r="D9" s="16">
        <f>COUNTIFS(Brasil!$B$6:$B$144,$A9,Brasil!$K$6:$K$144,"v2")</f>
        <v/>
      </c>
      <c r="E9" s="16">
        <f>COUNTIFS(Brasil!$B$6:$B$144,$A9,Brasil!$K$6:$K$144,"v3")</f>
        <v/>
      </c>
      <c r="F9" s="6">
        <f>SUM(B9:E9)</f>
        <v/>
      </c>
      <c r="H9" s="19" t="inlineStr">
        <is>
          <t>A mapear</t>
        </is>
      </c>
      <c r="I9" s="16">
        <f>COUNTIF(Brasil!$L$6:$L$144,H9)</f>
        <v/>
      </c>
    </row>
    <row r="10">
      <c r="A10" s="16" t="inlineStr">
        <is>
          <t>Política Monetária</t>
        </is>
      </c>
      <c r="B10" s="16">
        <f>COUNTIFS(Brasil!$B$6:$B$144,$A10,Brasil!$K$6:$K$144,"MVP")</f>
        <v/>
      </c>
      <c r="C10" s="16">
        <f>COUNTIFS(Brasil!$B$6:$B$144,$A10,Brasil!$K$6:$K$144,"EUA")</f>
        <v/>
      </c>
      <c r="D10" s="16">
        <f>COUNTIFS(Brasil!$B$6:$B$144,$A10,Brasil!$K$6:$K$144,"v2")</f>
        <v/>
      </c>
      <c r="E10" s="16">
        <f>COUNTIFS(Brasil!$B$6:$B$144,$A10,Brasil!$K$6:$K$144,"v3")</f>
        <v/>
      </c>
      <c r="F10" s="6">
        <f>SUM(B10:E10)</f>
        <v/>
      </c>
      <c r="H10" s="20" t="inlineStr">
        <is>
          <t>Sem API</t>
        </is>
      </c>
      <c r="I10" s="16">
        <f>COUNTIF(Brasil!$L$6:$L$144,H10)</f>
        <v/>
      </c>
    </row>
    <row r="11">
      <c r="A11" s="16" t="inlineStr">
        <is>
          <t>Fiscal</t>
        </is>
      </c>
      <c r="B11" s="16">
        <f>COUNTIFS(Brasil!$B$6:$B$144,$A11,Brasil!$K$6:$K$144,"MVP")</f>
        <v/>
      </c>
      <c r="C11" s="16">
        <f>COUNTIFS(Brasil!$B$6:$B$144,$A11,Brasil!$K$6:$K$144,"EUA")</f>
        <v/>
      </c>
      <c r="D11" s="16">
        <f>COUNTIFS(Brasil!$B$6:$B$144,$A11,Brasil!$K$6:$K$144,"v2")</f>
        <v/>
      </c>
      <c r="E11" s="16">
        <f>COUNTIFS(Brasil!$B$6:$B$144,$A11,Brasil!$K$6:$K$144,"v3")</f>
        <v/>
      </c>
      <c r="F11" s="6">
        <f>SUM(B11:E11)</f>
        <v/>
      </c>
      <c r="H11" s="21" t="inlineStr">
        <is>
          <t>Pago</t>
        </is>
      </c>
      <c r="I11" s="16">
        <f>COUNTIF(Brasil!$L$6:$L$144,H11)</f>
        <v/>
      </c>
    </row>
    <row r="12">
      <c r="A12" s="16" t="inlineStr">
        <is>
          <t>Setor Externo</t>
        </is>
      </c>
      <c r="B12" s="16">
        <f>COUNTIFS(Brasil!$B$6:$B$144,$A12,Brasil!$K$6:$K$144,"MVP")</f>
        <v/>
      </c>
      <c r="C12" s="16">
        <f>COUNTIFS(Brasil!$B$6:$B$144,$A12,Brasil!$K$6:$K$144,"EUA")</f>
        <v/>
      </c>
      <c r="D12" s="16">
        <f>COUNTIFS(Brasil!$B$6:$B$144,$A12,Brasil!$K$6:$K$144,"v2")</f>
        <v/>
      </c>
      <c r="E12" s="16">
        <f>COUNTIFS(Brasil!$B$6:$B$144,$A12,Brasil!$K$6:$K$144,"v3")</f>
        <v/>
      </c>
      <c r="F12" s="6">
        <f>SUM(B12:E12)</f>
        <v/>
      </c>
      <c r="H12" s="22" t="inlineStr">
        <is>
          <t>Derivado</t>
        </is>
      </c>
      <c r="I12" s="16">
        <f>COUNTIF(Brasil!$L$6:$L$144,H12)</f>
        <v/>
      </c>
    </row>
    <row r="13">
      <c r="A13" s="16" t="inlineStr">
        <is>
          <t>Famílias</t>
        </is>
      </c>
      <c r="B13" s="16">
        <f>COUNTIFS(Brasil!$B$6:$B$144,$A13,Brasil!$K$6:$K$144,"MVP")</f>
        <v/>
      </c>
      <c r="C13" s="16">
        <f>COUNTIFS(Brasil!$B$6:$B$144,$A13,Brasil!$K$6:$K$144,"EUA")</f>
        <v/>
      </c>
      <c r="D13" s="16">
        <f>COUNTIFS(Brasil!$B$6:$B$144,$A13,Brasil!$K$6:$K$144,"v2")</f>
        <v/>
      </c>
      <c r="E13" s="16">
        <f>COUNTIFS(Brasil!$B$6:$B$144,$A13,Brasil!$K$6:$K$144,"v3")</f>
        <v/>
      </c>
      <c r="F13" s="6">
        <f>SUM(B13:E13)</f>
        <v/>
      </c>
      <c r="H13" s="23" t="inlineStr">
        <is>
          <t>Curado</t>
        </is>
      </c>
      <c r="I13" s="16">
        <f>COUNTIF(Brasil!$L$6:$L$144,H13)</f>
        <v/>
      </c>
    </row>
    <row r="14">
      <c r="A14" s="16" t="inlineStr">
        <is>
          <t>Empresas</t>
        </is>
      </c>
      <c r="B14" s="16">
        <f>COUNTIFS(Brasil!$B$6:$B$144,$A14,Brasil!$K$6:$K$144,"MVP")</f>
        <v/>
      </c>
      <c r="C14" s="16">
        <f>COUNTIFS(Brasil!$B$6:$B$144,$A14,Brasil!$K$6:$K$144,"EUA")</f>
        <v/>
      </c>
      <c r="D14" s="16">
        <f>COUNTIFS(Brasil!$B$6:$B$144,$A14,Brasil!$K$6:$K$144,"v2")</f>
        <v/>
      </c>
      <c r="E14" s="16">
        <f>COUNTIFS(Brasil!$B$6:$B$144,$A14,Brasil!$K$6:$K$144,"v3")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COUNTIFS(Brasil!$B$6:$B$144,$A15,Brasil!$K$6:$K$144,"MVP")</f>
        <v/>
      </c>
      <c r="C15" s="16">
        <f>COUNTIFS(Brasil!$B$6:$B$144,$A15,Brasil!$K$6:$K$144,"EUA")</f>
        <v/>
      </c>
      <c r="D15" s="16">
        <f>COUNTIFS(Brasil!$B$6:$B$144,$A15,Brasil!$K$6:$K$144,"v2")</f>
        <v/>
      </c>
      <c r="E15" s="16">
        <f>COUNTIFS(Brasil!$B$6:$B$144,$A15,Brasil!$K$6:$K$144,"v3")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COUNTIFS(Brasil!$B$6:$B$144,$A16,Brasil!$K$6:$K$144,"MVP")</f>
        <v/>
      </c>
      <c r="C16" s="16">
        <f>COUNTIFS(Brasil!$B$6:$B$144,$A16,Brasil!$K$6:$K$144,"EUA")</f>
        <v/>
      </c>
      <c r="D16" s="16">
        <f>COUNTIFS(Brasil!$B$6:$B$144,$A16,Brasil!$K$6:$K$144,"v2")</f>
        <v/>
      </c>
      <c r="E16" s="16">
        <f>COUNTIFS(Brasil!$B$6:$B$144,$A16,Brasil!$K$6:$K$144,"v3")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COUNTIFS(Brasil!$B$6:$B$144,$A17,Brasil!$K$6:$K$144,"MVP")</f>
        <v/>
      </c>
      <c r="C17" s="16">
        <f>COUNTIFS(Brasil!$B$6:$B$144,$A17,Brasil!$K$6:$K$144,"EUA")</f>
        <v/>
      </c>
      <c r="D17" s="16">
        <f>COUNTIFS(Brasil!$B$6:$B$144,$A17,Brasil!$K$6:$K$144,"v2")</f>
        <v/>
      </c>
      <c r="E17" s="16">
        <f>COUNTIFS(Brasil!$B$6:$B$144,$A17,Brasil!$K$6:$K$144,"v3")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 ; t8888/v11602,11604/c544=129314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0; v11602 (YoY) e v11604 (12 meses) são as taxas oficiais, usadas para conferir o cálculo do site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 ; t8880/v11708/c11046=56734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nominal; t8880 v11708 (MoM SA oficial) confere o cálculo do site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27838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NT 57 (dez/2025, Tabela 11): EX1 = 16121 e EX2 = 27838; o título SGS de 16121 ('ex2') é enganoso; validador 2026-10-04: título oficial confere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Método do P55 do BCB (NT 57) em 50%; o mesmo cálculo em 55% reproduz o SGS 28750 em 80 de 80 meses (2020-2026). Desde 2020 (tabela 7060)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 (EX3 Industriais)</t>
        </is>
      </c>
      <c r="E43" s="26" t="inlineStr">
        <is>
          <t>BCB SGS</t>
        </is>
      </c>
      <c r="F43" s="26" t="inlineStr">
        <is>
          <t>29684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Var % mensal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Verificado</t>
        </is>
      </c>
      <c r="M43" s="26" t="inlineStr">
        <is>
          <t>Série oficial do BCB desde a NT 57 (dez/2025, Tabela 11): antes era cálculo próprio; validador 2026-10-04: título oficial confere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(EX3 Serviços)</t>
        </is>
      </c>
      <c r="E53" s="26" t="inlineStr">
        <is>
          <t>BCB SGS</t>
        </is>
      </c>
      <c r="F53" s="26" t="inlineStr">
        <is>
          <t>29683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Var % mensal</t>
        </is>
      </c>
      <c r="J53" s="26" t="inlineStr">
        <is>
          <t>Mensal, acum. 3/6/9/12m (encadeado), 3m/6m anualizado, YoY via 12m</t>
        </is>
      </c>
      <c r="K53" s="26" t="inlineStr">
        <is>
          <t>MVP</t>
        </is>
      </c>
      <c r="L53" s="26" t="inlineStr">
        <is>
          <t>Verificado</t>
        </is>
      </c>
      <c r="M53" s="26" t="inlineStr">
        <is>
          <t>Série oficial do BCB desde a NT 57 (dez/2025, Tabela 11): antes era cálculo próprio; validador 2026-10-04: título oficial confere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comunicados ; 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 do BCB, não documentada (copom/comunicados, copom/atas e *_detalhes); texto convertido para texto puro na tabela events; comunicados desde a 46ª reunião (2000)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indice=IBOV · yahoo=^BVSP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Fechamento diário desde 1998 (antes, reescalonamentos ÷10 sem ajuste na fonte: v2). Yahoo cobre a janela recente se a B3 falhar; FMP grátis não inclui Ibovespa (HTTP 402)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  <row r="137">
      <c r="A137" s="25" t="inlineStr">
        <is>
          <t>BR-132</t>
        </is>
      </c>
      <c r="B137" s="26" t="inlineStr">
        <is>
          <t>Política Monetária</t>
        </is>
      </c>
      <c r="C137" s="26" t="inlineStr">
        <is>
          <t>Expectativas</t>
        </is>
      </c>
      <c r="D137" s="27" t="inlineStr">
        <is>
          <t>Focus — Selic fim de ano (ano corrente a +3)</t>
        </is>
      </c>
      <c r="E137" s="26" t="inlineStr">
        <is>
          <t>BCB Olinda (Focus)</t>
        </is>
      </c>
      <c r="F137" s="26" t="inlineStr">
        <is>
          <t>ExpectativasMercadoAnuais · Indicador='Selic'</t>
        </is>
      </c>
      <c r="G137" s="26" t="inlineStr">
        <is>
          <t>Semanal</t>
        </is>
      </c>
      <c r="H137" s="26" t="inlineStr">
        <is>
          <t>% a.a.</t>
        </is>
      </c>
      <c r="I137" s="26" t="inlineStr">
        <is>
          <t>Taxa</t>
        </is>
      </c>
      <c r="J137" s="26" t="inlineStr">
        <is>
          <t>Nível, Δ p.p. (MoM, YoY, 3/6/12m)</t>
        </is>
      </c>
      <c r="K137" s="26" t="inlineStr">
        <is>
          <t>MVP</t>
        </is>
      </c>
      <c r="L137" s="26" t="inlineStr">
        <is>
          <t>Verificado</t>
        </is>
      </c>
      <c r="M137" s="26" t="inlineStr">
        <is>
          <t>Insumo do juro neutro implícito (BR-117); sub-série por ano de referência; validador 2026-10-04: última pesquisa 2026-09-25</t>
        </is>
      </c>
    </row>
    <row r="138">
      <c r="A138" s="25" t="inlineStr">
        <is>
          <t>BR-133</t>
        </is>
      </c>
      <c r="B138" s="26" t="inlineStr">
        <is>
          <t>Mercado de Trabalho</t>
        </is>
      </c>
      <c r="C138" s="26" t="inlineStr">
        <is>
          <t>Formal</t>
        </is>
      </c>
      <c r="D138" s="27" t="inlineStr">
        <is>
          <t>Saldo mensal do Novo CAGED (variação do estoque)</t>
        </is>
      </c>
      <c r="E138" s="26" t="inlineStr">
        <is>
          <t>Argus</t>
        </is>
      </c>
      <c r="F138" s="26" t="inlineStr">
        <is>
          <t>Δ(28763)</t>
        </is>
      </c>
      <c r="G138" s="26" t="inlineStr">
        <is>
          <t>Mensal</t>
        </is>
      </c>
      <c r="H138" s="26" t="inlineStr">
        <is>
          <t>Postos</t>
        </is>
      </c>
      <c r="I138" s="26" t="inlineStr">
        <is>
          <t>Derivado</t>
        </is>
      </c>
      <c r="J138" s="26" t="inlineStr">
        <is>
          <t>Nível, soma 3/12m, MoM % (SA), YoY %, real/nominal, % PIB</t>
        </is>
      </c>
      <c r="K138" s="26" t="inlineStr">
        <is>
          <t>MVP</t>
        </is>
      </c>
      <c r="L138" s="26" t="inlineStr">
        <is>
          <t>Derivado</t>
        </is>
      </c>
      <c r="M138" s="26" t="inlineStr">
        <is>
          <t>Variação mensal do estoque BR-022; só entre meses consecutivos</t>
        </is>
      </c>
    </row>
    <row r="139">
      <c r="A139" s="25" t="inlineStr">
        <is>
          <t>BR-134</t>
        </is>
      </c>
      <c r="B139" s="26" t="inlineStr">
        <is>
          <t>Inflação</t>
        </is>
      </c>
      <c r="C139" s="26" t="inlineStr">
        <is>
          <t>Cheio</t>
        </is>
      </c>
      <c r="D139" s="27" t="inlineStr">
        <is>
          <t>Meta para a inflação (CMN)</t>
        </is>
      </c>
      <c r="E139" s="26" t="inlineStr">
        <is>
          <t>BCB SGS</t>
        </is>
      </c>
      <c r="F139" s="26" t="inlineStr">
        <is>
          <t>13521</t>
        </is>
      </c>
      <c r="G139" s="26" t="inlineStr">
        <is>
          <t>Anual</t>
        </is>
      </c>
      <c r="H139" s="26" t="inlineStr">
        <is>
          <t>%</t>
        </is>
      </c>
      <c r="I139" s="26" t="inlineStr">
        <is>
          <t>Taxa</t>
        </is>
      </c>
      <c r="J139" s="26" t="inlineStr">
        <is>
          <t>Nível</t>
        </is>
      </c>
      <c r="K139" s="26" t="inlineStr">
        <is>
          <t>MVP</t>
        </is>
      </c>
      <c r="L139" s="26" t="inlineStr">
        <is>
          <t>Verificado</t>
        </is>
      </c>
      <c r="M139" s="26" t="inlineStr">
        <is>
          <t>Título oficial 'Meta para a inflação' conferido em 2026-10-15; valor central do ano (o intervalo de tolerância não está no SGS). Insumo da regra de Taylor e do desvio da meta</t>
        </is>
      </c>
    </row>
    <row r="140">
      <c r="A140" s="25" t="inlineStr">
        <is>
          <t>BR-135</t>
        </is>
      </c>
      <c r="B140" s="26" t="inlineStr">
        <is>
          <t>Inflação</t>
        </is>
      </c>
      <c r="C140" s="26" t="inlineStr">
        <is>
          <t>Aberturas</t>
        </is>
      </c>
      <c r="D140" s="27" t="inlineStr">
        <is>
          <t>IPCA — Comercializáveis (tradables)</t>
        </is>
      </c>
      <c r="E140" s="26" t="inlineStr">
        <is>
          <t>BCB SGS</t>
        </is>
      </c>
      <c r="F140" s="26" t="inlineStr">
        <is>
          <t>4447</t>
        </is>
      </c>
      <c r="G140" s="26" t="inlineStr">
        <is>
          <t>Mensal</t>
        </is>
      </c>
      <c r="H140" s="26" t="inlineStr">
        <is>
          <t>% m/m</t>
        </is>
      </c>
      <c r="I140" s="26" t="inlineStr">
        <is>
          <t>Var % mensal</t>
        </is>
      </c>
      <c r="J140" s="26" t="inlineStr">
        <is>
          <t>Mensal, acum. 3/6/9/12m (encadeado), 3m/6m anualizado, YoY via 12m</t>
        </is>
      </c>
      <c r="K140" s="26" t="inlineStr">
        <is>
          <t>MVP</t>
        </is>
      </c>
      <c r="L140" s="26" t="inlineStr">
        <is>
          <t>Verificado</t>
        </is>
      </c>
      <c r="M140" s="26" t="inlineStr">
        <is>
          <t>Classificação do BCB; título oficial conferido no SGS em 2026-10-15. Preços formados no mercado internacional; reagem a câmbio e commodities</t>
        </is>
      </c>
    </row>
    <row r="141">
      <c r="A141" s="25" t="inlineStr">
        <is>
          <t>BR-136</t>
        </is>
      </c>
      <c r="B141" s="26" t="inlineStr">
        <is>
          <t>Inflação</t>
        </is>
      </c>
      <c r="C141" s="26" t="inlineStr">
        <is>
          <t>Aberturas</t>
        </is>
      </c>
      <c r="D141" s="27" t="inlineStr">
        <is>
          <t>IPCA — Não comercializáveis</t>
        </is>
      </c>
      <c r="E141" s="26" t="inlineStr">
        <is>
          <t>BCB SGS</t>
        </is>
      </c>
      <c r="F141" s="26" t="inlineStr">
        <is>
          <t>4448</t>
        </is>
      </c>
      <c r="G141" s="26" t="inlineStr">
        <is>
          <t>Mensal</t>
        </is>
      </c>
      <c r="H141" s="26" t="inlineStr">
        <is>
          <t>% m/m</t>
        </is>
      </c>
      <c r="I141" s="26" t="inlineStr">
        <is>
          <t>Var % mensal</t>
        </is>
      </c>
      <c r="J141" s="26" t="inlineStr">
        <is>
          <t>Mensal, acum. 3/6/9/12m (encadeado), 3m/6m anualizado, YoY via 12m</t>
        </is>
      </c>
      <c r="K141" s="26" t="inlineStr">
        <is>
          <t>MVP</t>
        </is>
      </c>
      <c r="L141" s="26" t="inlineStr">
        <is>
          <t>Verificado</t>
        </is>
      </c>
      <c r="M141" s="26" t="inlineStr">
        <is>
          <t>Classificação do BCB; título oficial conferido no SGS em 2026-10-15. Preços formados no mercado doméstico; reagem a renda e demanda interna</t>
        </is>
      </c>
    </row>
    <row r="142">
      <c r="A142" s="25" t="inlineStr">
        <is>
          <t>BR-137</t>
        </is>
      </c>
      <c r="B142" s="26" t="inlineStr">
        <is>
          <t>Inflação</t>
        </is>
      </c>
      <c r="C142" s="26" t="inlineStr">
        <is>
          <t>Aberturas</t>
        </is>
      </c>
      <c r="D142" s="27" t="inlineStr">
        <is>
          <t>IPCA — Bens duráveis</t>
        </is>
      </c>
      <c r="E142" s="26" t="inlineStr">
        <is>
          <t>BCB SGS</t>
        </is>
      </c>
      <c r="F142" s="26" t="inlineStr">
        <is>
          <t>10843</t>
        </is>
      </c>
      <c r="G142" s="26" t="inlineStr">
        <is>
          <t>Mensal</t>
        </is>
      </c>
      <c r="H142" s="26" t="inlineStr">
        <is>
          <t>% m/m</t>
        </is>
      </c>
      <c r="I142" s="26" t="inlineStr">
        <is>
          <t>Var % mensal</t>
        </is>
      </c>
      <c r="J142" s="26" t="inlineStr">
        <is>
          <t>Mensal, acum. 3/6/9/12m (encadeado), 3m/6m anualizado, YoY via 12m</t>
        </is>
      </c>
      <c r="K142" s="26" t="inlineStr">
        <is>
          <t>MVP</t>
        </is>
      </c>
      <c r="L142" s="26" t="inlineStr">
        <is>
          <t>Verificado</t>
        </is>
      </c>
      <c r="M142" s="26" t="inlineStr">
        <is>
          <t>Classificação do BCB; título oficial conferido no SGS em 2026-10-15. Compras em geral financiadas (veículos, eletrodomésticos); sensíveis a crédito, juros e câmbio</t>
        </is>
      </c>
    </row>
    <row r="143">
      <c r="A143" s="25" t="inlineStr">
        <is>
          <t>BR-138</t>
        </is>
      </c>
      <c r="B143" s="26" t="inlineStr">
        <is>
          <t>Inflação</t>
        </is>
      </c>
      <c r="C143" s="26" t="inlineStr">
        <is>
          <t>Aberturas</t>
        </is>
      </c>
      <c r="D143" s="27" t="inlineStr">
        <is>
          <t>IPCA — Bens semiduráveis</t>
        </is>
      </c>
      <c r="E143" s="26" t="inlineStr">
        <is>
          <t>BCB SGS</t>
        </is>
      </c>
      <c r="F143" s="26" t="inlineStr">
        <is>
          <t>10842</t>
        </is>
      </c>
      <c r="G143" s="26" t="inlineStr">
        <is>
          <t>Mensal</t>
        </is>
      </c>
      <c r="H143" s="26" t="inlineStr">
        <is>
          <t>% m/m</t>
        </is>
      </c>
      <c r="I143" s="26" t="inlineStr">
        <is>
          <t>Var % mensal</t>
        </is>
      </c>
      <c r="J143" s="26" t="inlineStr">
        <is>
          <t>Mensal, acum. 3/6/9/12m (encadeado), 3m/6m anualizado, YoY via 12m</t>
        </is>
      </c>
      <c r="K143" s="26" t="inlineStr">
        <is>
          <t>MVP</t>
        </is>
      </c>
      <c r="L143" s="26" t="inlineStr">
        <is>
          <t>Verificado</t>
        </is>
      </c>
      <c r="M143" s="26" t="inlineStr">
        <is>
          <t>Classificação do BCB; título oficial conferido no SGS em 2026-10-15. Vestuário, calçados e similares</t>
        </is>
      </c>
    </row>
    <row r="144">
      <c r="A144" s="25" t="inlineStr">
        <is>
          <t>BR-139</t>
        </is>
      </c>
      <c r="B144" s="26" t="inlineStr">
        <is>
          <t>Inflação</t>
        </is>
      </c>
      <c r="C144" s="26" t="inlineStr">
        <is>
          <t>Aberturas</t>
        </is>
      </c>
      <c r="D144" s="27" t="inlineStr">
        <is>
          <t>IPCA — Bens não duráveis</t>
        </is>
      </c>
      <c r="E144" s="26" t="inlineStr">
        <is>
          <t>BCB SGS</t>
        </is>
      </c>
      <c r="F144" s="26" t="inlineStr">
        <is>
          <t>10841</t>
        </is>
      </c>
      <c r="G144" s="26" t="inlineStr">
        <is>
          <t>Mensal</t>
        </is>
      </c>
      <c r="H144" s="26" t="inlineStr">
        <is>
          <t>% m/m</t>
        </is>
      </c>
      <c r="I144" s="26" t="inlineStr">
        <is>
          <t>Var % mensal</t>
        </is>
      </c>
      <c r="J144" s="26" t="inlineStr">
        <is>
          <t>Mensal, acum. 3/6/9/12m (encadeado), 3m/6m anualizado, YoY via 12m</t>
        </is>
      </c>
      <c r="K144" s="26" t="inlineStr">
        <is>
          <t>MVP</t>
        </is>
      </c>
      <c r="L144" s="26" t="inlineStr">
        <is>
          <t>Verificado</t>
        </is>
      </c>
      <c r="M144" s="26" t="inlineStr">
        <is>
          <t>Classificação do BCB; título oficial conferido no SGS em 2026-10-15. Alimentos, higiene, combustíveis e similares</t>
        </is>
      </c>
    </row>
  </sheetData>
  <autoFilter ref="A5:M144"/>
  <conditionalFormatting sqref="L6:L344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44">
    <cfRule type="expression" priority="8" dxfId="7">
      <formula>$K6="MVP"</formula>
    </cfRule>
  </conditionalFormatting>
  <dataValidations count="2">
    <dataValidation sqref="K6:K344" showDropDown="0" showInputMessage="0" showErrorMessage="0" allowBlank="1" type="list">
      <formula1>"MVP,EUA,v2,v3"</formula1>
    </dataValidation>
    <dataValidation sqref="L6:L344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2026-10-16T02:12:43Z</dcterms:created>
  <dcterms:modified xsi:type="dcterms:W3CDTF">2026-10-16T02:12:43Z</dcterms:modified>
</cp:coreProperties>
</file>