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Brasil" sheetId="3" state="visible" r:id="rId5"/>
    <sheet name="EUA" sheetId="4" state="visible" r:id="rId6"/>
    <sheet name="Central" sheetId="5" state="visible" r:id="rId7"/>
    <sheet name="Fontes" sheetId="6" state="visible" r:id="rId8"/>
  </sheets>
  <definedNames>
    <definedName function="false" hidden="true" localSheetId="2" name="_xlnm._FilterDatabase" vbProcedure="false">Brasil!$A$5:$M$130</definedName>
    <definedName function="false" hidden="true" localSheetId="4" name="_xlnm._FilterDatabase" vbProcedure="false">Central!$A$5:$F$17</definedName>
    <definedName function="false" hidden="true" localSheetId="3" name="_xlnm._FilterDatabase" vbProcedure="false">EUA!$A$5:$M$101</definedName>
    <definedName function="false" hidden="true" localSheetId="5" name="_xlnm._FilterDatabase" vbProcedure="false">Fontes!$A$5:$F$22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<sst xmlns="http://schemas.openxmlformats.org/spreadsheetml/2006/main" count="3059" uniqueCount="1120">
  <si>
    <t xml:space="preserve">Argus — Catálogo de Dados</t>
  </si>
  <si>
    <t xml:space="preserve">Fonte única das séries de cada aba. Vira o arquivo de configuração do pipeline na Fase 1.</t>
  </si>
  <si>
    <t xml:space="preserve">Como usar</t>
  </si>
  <si>
    <t xml:space="preserve">Brasil / EUA</t>
  </si>
  <si>
    <t xml:space="preserve">Uma linha por indicador. Filtre por Aba, Fase ou Status. As colunas Fase e Status têm lista suspensa e podem ser editadas.</t>
  </si>
  <si>
    <t xml:space="preserve">Central</t>
  </si>
  <si>
    <t xml:space="preserve">Blocos da aba Central (Command Center) e do agregador de notícias.</t>
  </si>
  <si>
    <t xml:space="preserve">Fontes</t>
  </si>
  <si>
    <t xml:space="preserve">Registro de cada fonte: acesso, autenticação, limites e risco técnico.</t>
  </si>
  <si>
    <t xml:space="preserve">Resumo</t>
  </si>
  <si>
    <t xml:space="preserve">Contagens por aba, fase e status, calculadas por fórmula.</t>
  </si>
  <si>
    <t xml:space="preserve">Status</t>
  </si>
  <si>
    <t xml:space="preserve">Verificado</t>
  </si>
  <si>
    <t xml:space="preserve">Código conferido nesta sessão contra o portal oficial (título ou último valor).</t>
  </si>
  <si>
    <t xml:space="preserve">Confirmar</t>
  </si>
  <si>
    <t xml:space="preserve">Código conhecido, ainda não conferido. A validação automática da Fase 0 confirma título e última observação.</t>
  </si>
  <si>
    <t xml:space="preserve">A mapear</t>
  </si>
  <si>
    <t xml:space="preserve">Fonte definida, código ainda não localizado.</t>
  </si>
  <si>
    <t xml:space="preserve">Sem API</t>
  </si>
  <si>
    <t xml:space="preserve">Dado gratuito, mas só por download manual ou PDF. Entra como carga manual ou fica para v2.</t>
  </si>
  <si>
    <t xml:space="preserve">Pago</t>
  </si>
  <si>
    <t xml:space="preserve">Exige licença. A coluna Observação indica o substituto gratuito quando existe.</t>
  </si>
  <si>
    <t xml:space="preserve">Derivado</t>
  </si>
  <si>
    <t xml:space="preserve">Calculado pelo Argus a partir de outras séries. A fórmula está em Código / endpoint.</t>
  </si>
  <si>
    <t xml:space="preserve">Curado</t>
  </si>
  <si>
    <t xml:space="preserve">Tabela mantida manualmente (decisões do Copom, metas, pesquisas).</t>
  </si>
  <si>
    <t xml:space="preserve">Fase</t>
  </si>
  <si>
    <t xml:space="preserve">MVP</t>
  </si>
  <si>
    <t xml:space="preserve">Brasil + Central. Fontes oficiais com API, sem modelagem própria.</t>
  </si>
  <si>
    <t xml:space="preserve">EUA</t>
  </si>
  <si>
    <t xml:space="preserve">Logo após o MVP: mesmo template de abas, quase tudo via FRED.</t>
  </si>
  <si>
    <t xml:space="preserve">v2</t>
  </si>
  <si>
    <t xml:space="preserve">Fontes difíceis (B3, ANBIMA, pesquisas, texto) ou modelos próprios.</t>
  </si>
  <si>
    <t xml:space="preserve">v3</t>
  </si>
  <si>
    <t xml:space="preserve">Projetos de maior risco: NLP de discursos, fluxo B3, balanços CVM.</t>
  </si>
  <si>
    <t xml:space="preserve">Tipo</t>
  </si>
  <si>
    <t xml:space="preserve">Define quais transformações o motor de gráfico oferece. Ex.: taxa nunca vira acumulado 12m; variação mensal é encadeada, não somada.</t>
  </si>
  <si>
    <t xml:space="preserve">Data</t>
  </si>
  <si>
    <t xml:space="preserve">Planilha gerada a partir dos CSVs em docs/catalogo/. Edite os CSVs e rode o gerador; resultado da validação em validacao.md.</t>
  </si>
  <si>
    <t xml:space="preserve">Resumo do catálogo</t>
  </si>
  <si>
    <t xml:space="preserve">Contagens calculadas a partir das abas Brasil e EUA.</t>
  </si>
  <si>
    <t xml:space="preserve">Brasil</t>
  </si>
  <si>
    <t xml:space="preserve">Aba</t>
  </si>
  <si>
    <t xml:space="preserve">Total</t>
  </si>
  <si>
    <t xml:space="preserve">Qtd</t>
  </si>
  <si>
    <t xml:space="preserve">Atividade</t>
  </si>
  <si>
    <t xml:space="preserve">Mercado de Trabalho</t>
  </si>
  <si>
    <t xml:space="preserve">Inflação</t>
  </si>
  <si>
    <t xml:space="preserve">Política Monetária</t>
  </si>
  <si>
    <t xml:space="preserve">Fiscal</t>
  </si>
  <si>
    <t xml:space="preserve">Setor Externo</t>
  </si>
  <si>
    <t xml:space="preserve">Famílias</t>
  </si>
  <si>
    <t xml:space="preserve">Empresas</t>
  </si>
  <si>
    <t xml:space="preserve">Mercado &amp; Risco</t>
  </si>
  <si>
    <t xml:space="preserve">Política</t>
  </si>
  <si>
    <t xml:space="preserve">Análises</t>
  </si>
  <si>
    <t xml:space="preserve">Fed &amp; Juros</t>
  </si>
  <si>
    <t xml:space="preserve">Imobiliário</t>
  </si>
  <si>
    <t xml:space="preserve">Consumidor</t>
  </si>
  <si>
    <t xml:space="preserve">Corporativo</t>
  </si>
  <si>
    <t xml:space="preserve">Setor Externo &amp; Fiscal</t>
  </si>
  <si>
    <t xml:space="preserve">Risco &amp; Mercado</t>
  </si>
  <si>
    <t xml:space="preserve">Brasil — catálogo de séries</t>
  </si>
  <si>
    <t xml:space="preserve">Subabas da aba Brasil. Foco do MVP.</t>
  </si>
  <si>
    <t xml:space="preserve">ID</t>
  </si>
  <si>
    <t xml:space="preserve">Bloco</t>
  </si>
  <si>
    <t xml:space="preserve">Indicador</t>
  </si>
  <si>
    <t xml:space="preserve">Fonte</t>
  </si>
  <si>
    <t xml:space="preserve">Código / endpoint</t>
  </si>
  <si>
    <t xml:space="preserve">Frequência</t>
  </si>
  <si>
    <t xml:space="preserve">Unidade</t>
  </si>
  <si>
    <t xml:space="preserve">Transformações válidas</t>
  </si>
  <si>
    <t xml:space="preserve">Observação</t>
  </si>
  <si>
    <t xml:space="preserve">BR-001</t>
  </si>
  <si>
    <t xml:space="preserve">PIB</t>
  </si>
  <si>
    <t xml:space="preserve">PIB real — índice de volume (SA)</t>
  </si>
  <si>
    <t xml:space="preserve">IBGE SIDRA</t>
  </si>
  <si>
    <t xml:space="preserve">t1621</t>
  </si>
  <si>
    <t xml:space="preserve">Trimestral</t>
  </si>
  <si>
    <t xml:space="preserve">Índice</t>
  </si>
  <si>
    <t xml:space="preserve">Nível, MoM, QoQ, YoY, acum. 3/6/9/12m, 3m/6m SAAR, real/nominal</t>
  </si>
  <si>
    <t xml:space="preserve">Série encadeada com ajuste sazonal; base para QoQ SAAR</t>
  </si>
  <si>
    <t xml:space="preserve">BR-002</t>
  </si>
  <si>
    <t xml:space="preserve">PIB real — taxas (QoQ, YoY, acum. 4T)</t>
  </si>
  <si>
    <t xml:space="preserve">t5932</t>
  </si>
  <si>
    <t xml:space="preserve">%</t>
  </si>
  <si>
    <t xml:space="preserve">Taxa</t>
  </si>
  <si>
    <t xml:space="preserve">Nível, Δ p.p. (MoM, YoY, 3/6/12m)</t>
  </si>
  <si>
    <t xml:space="preserve">Taxas oficiais; usar para conferir cálculo próprio</t>
  </si>
  <si>
    <t xml:space="preserve">BR-003</t>
  </si>
  <si>
    <t xml:space="preserve">PIB — ótica da oferta (agro, indústria, serviços)</t>
  </si>
  <si>
    <t xml:space="preserve">t1621 (setores)</t>
  </si>
  <si>
    <t xml:space="preserve">BR-004</t>
  </si>
  <si>
    <t xml:space="preserve">PIB — ótica da demanda (C, G, FBCF, X, M)</t>
  </si>
  <si>
    <t xml:space="preserve">t1621 (componentes)</t>
  </si>
  <si>
    <t xml:space="preserve">Consumo das famílias também alimenta a aba Famílias</t>
  </si>
  <si>
    <t xml:space="preserve">BR-005</t>
  </si>
  <si>
    <t xml:space="preserve">PIB nominal acumulado 12m (R$)</t>
  </si>
  <si>
    <t xml:space="preserve">BCB SGS</t>
  </si>
  <si>
    <t xml:space="preserve">4382</t>
  </si>
  <si>
    <t xml:space="preserve">Mensal</t>
  </si>
  <si>
    <t xml:space="preserve">R$ mi</t>
  </si>
  <si>
    <t xml:space="preserve">Fluxo</t>
  </si>
  <si>
    <t xml:space="preserve">Nível, soma 3/12m, MoM % (SA), YoY %, real/nominal, % PIB</t>
  </si>
  <si>
    <t xml:space="preserve">Denominador de todas as razões % PIB</t>
  </si>
  <si>
    <t xml:space="preserve">BR-006</t>
  </si>
  <si>
    <t xml:space="preserve">Mensais</t>
  </si>
  <si>
    <t xml:space="preserve">IBC-Br (SA)</t>
  </si>
  <si>
    <t xml:space="preserve">24364</t>
  </si>
  <si>
    <t xml:space="preserve">Sem ajuste: 24363</t>
  </si>
  <si>
    <t xml:space="preserve">BR-007</t>
  </si>
  <si>
    <t xml:space="preserve">Produção industrial — PIM-PF (geral, extrativa, transformação)</t>
  </si>
  <si>
    <t xml:space="preserve">t8888</t>
  </si>
  <si>
    <t xml:space="preserve">Tabela nova (base 2022); conferir na Fase 0</t>
  </si>
  <si>
    <t xml:space="preserve">BR-008</t>
  </si>
  <si>
    <t xml:space="preserve">Varejo restrito e ampliado — PMC</t>
  </si>
  <si>
    <t xml:space="preserve">t8880 / t8881</t>
  </si>
  <si>
    <t xml:space="preserve">Volume e receita nominal</t>
  </si>
  <si>
    <t xml:space="preserve">BR-009</t>
  </si>
  <si>
    <t xml:space="preserve">Volume de serviços — PMS</t>
  </si>
  <si>
    <t xml:space="preserve">t5906</t>
  </si>
  <si>
    <t xml:space="preserve">BR-010</t>
  </si>
  <si>
    <t xml:space="preserve">Utilização da capacidade instalada (NUCI)</t>
  </si>
  <si>
    <t xml:space="preserve">FGV IBRE / CNI</t>
  </si>
  <si>
    <t xml:space="preserve">—</t>
  </si>
  <si>
    <t xml:space="preserve">FGV restringe dados; CNI publica xlsx</t>
  </si>
  <si>
    <t xml:space="preserve">BR-011</t>
  </si>
  <si>
    <t xml:space="preserve">Confiança</t>
  </si>
  <si>
    <t xml:space="preserve">Confiança FGV (consumidor, indústria, serviços, comércio)</t>
  </si>
  <si>
    <t xml:space="preserve">FGV IBRE</t>
  </si>
  <si>
    <t xml:space="preserve">Sem API aberta; download manual ou assinatura</t>
  </si>
  <si>
    <t xml:space="preserve">BR-012</t>
  </si>
  <si>
    <t xml:space="preserve">Coincidentes</t>
  </si>
  <si>
    <t xml:space="preserve">Produção de veículos (Anfavea)</t>
  </si>
  <si>
    <t xml:space="preserve">Anfavea</t>
  </si>
  <si>
    <t xml:space="preserve">Unidades</t>
  </si>
  <si>
    <t xml:space="preserve">xlsx no site</t>
  </si>
  <si>
    <t xml:space="preserve">BR-013</t>
  </si>
  <si>
    <t xml:space="preserve">Carga de energia (ONS)</t>
  </si>
  <si>
    <t xml:space="preserve">ONS Dados Abertos</t>
  </si>
  <si>
    <t xml:space="preserve">Diária</t>
  </si>
  <si>
    <t xml:space="preserve">MWmed</t>
  </si>
  <si>
    <t xml:space="preserve">Proxy de atividade de alta frequência</t>
  </si>
  <si>
    <t xml:space="preserve">BR-014</t>
  </si>
  <si>
    <t xml:space="preserve">Expectativas</t>
  </si>
  <si>
    <t xml:space="preserve">Focus — PIB (ano corrente e seguinte)</t>
  </si>
  <si>
    <t xml:space="preserve">BCB Olinda (Focus)</t>
  </si>
  <si>
    <t xml:space="preserve">ExpectativasMercadoAnuais · Indicador='PIB Total'</t>
  </si>
  <si>
    <t xml:space="preserve">Semanal</t>
  </si>
  <si>
    <t xml:space="preserve">Mediana, desvio e nº de respondentes</t>
  </si>
  <si>
    <t xml:space="preserve">BR-015</t>
  </si>
  <si>
    <t xml:space="preserve">PNAD</t>
  </si>
  <si>
    <t xml:space="preserve">Taxa de desocupação</t>
  </si>
  <si>
    <t xml:space="preserve">BCB SGS / IBGE SIDRA</t>
  </si>
  <si>
    <t xml:space="preserve">24369 / t6381</t>
  </si>
  <si>
    <t xml:space="preserve">Mensal (trim. móvel)</t>
  </si>
  <si>
    <t xml:space="preserve">Série oficial sem ajuste sazonal; SA própria (X-13) na v2</t>
  </si>
  <si>
    <t xml:space="preserve">BR-016</t>
  </si>
  <si>
    <t xml:space="preserve">Taxa de participação e nível de ocupação</t>
  </si>
  <si>
    <t xml:space="preserve">t5944 / t6379</t>
  </si>
  <si>
    <t xml:space="preserve">PNAD Contínua mensal: t5944 participação, t6379 nível da ocupação</t>
  </si>
  <si>
    <t xml:space="preserve">BR-017</t>
  </si>
  <si>
    <t xml:space="preserve">População ocupada (total, formal, informal)</t>
  </si>
  <si>
    <t xml:space="preserve">t8501</t>
  </si>
  <si>
    <t xml:space="preserve">Mil pessoas</t>
  </si>
  <si>
    <t xml:space="preserve">Estoque</t>
  </si>
  <si>
    <t xml:space="preserve">Nível, MoM %, YoY %, real/nominal, % PIB</t>
  </si>
  <si>
    <t xml:space="preserve">PNAD Contínua mensal, por situação de informalidade</t>
  </si>
  <si>
    <t xml:space="preserve">BR-018</t>
  </si>
  <si>
    <t xml:space="preserve">Taxa de informalidade</t>
  </si>
  <si>
    <t xml:space="preserve">t8513</t>
  </si>
  <si>
    <t xml:space="preserve">PNAD Contínua mensal</t>
  </si>
  <si>
    <t xml:space="preserve">BR-019</t>
  </si>
  <si>
    <t xml:space="preserve">Rendimento médio real habitual</t>
  </si>
  <si>
    <t xml:space="preserve">t6390</t>
  </si>
  <si>
    <t xml:space="preserve">R$</t>
  </si>
  <si>
    <t xml:space="preserve">Equivalente a AHE/real wage dos EUA</t>
  </si>
  <si>
    <t xml:space="preserve">BR-020</t>
  </si>
  <si>
    <t xml:space="preserve">Massa de rendimento real habitual</t>
  </si>
  <si>
    <t xml:space="preserve">t6392</t>
  </si>
  <si>
    <t xml:space="preserve">PNAD Contínua mensal, habitualmente recebido; liga Trabalho a Consumo</t>
  </si>
  <si>
    <t xml:space="preserve">BR-021</t>
  </si>
  <si>
    <t xml:space="preserve">Subutilização, desalentados, desemprego de longo prazo</t>
  </si>
  <si>
    <t xml:space="preserve">PNAD Contínua trimestral</t>
  </si>
  <si>
    <t xml:space="preserve">Equivalente ao U6 dos EUA</t>
  </si>
  <si>
    <t xml:space="preserve">BR-022</t>
  </si>
  <si>
    <t xml:space="preserve">Formal</t>
  </si>
  <si>
    <t xml:space="preserve">Estoque de empregos formais (Novo CAGED)</t>
  </si>
  <si>
    <t xml:space="preserve">BCB SGS / MTE PDET</t>
  </si>
  <si>
    <t xml:space="preserve">28763</t>
  </si>
  <si>
    <t xml:space="preserve">Postos</t>
  </si>
  <si>
    <t xml:space="preserve">Saldo mensal do CAGED = variação do estoque (série derivada); por setor via microdados MTE (v2)</t>
  </si>
  <si>
    <t xml:space="preserve">BR-023</t>
  </si>
  <si>
    <t xml:space="preserve">Requerimentos de seguro-desemprego</t>
  </si>
  <si>
    <t xml:space="preserve">MTE</t>
  </si>
  <si>
    <t xml:space="preserve">Pedidos</t>
  </si>
  <si>
    <t xml:space="preserve">Equivalente às jobless claims</t>
  </si>
  <si>
    <t xml:space="preserve">BR-024</t>
  </si>
  <si>
    <t xml:space="preserve">Indicadores</t>
  </si>
  <si>
    <t xml:space="preserve">Recessão tipo Sahm (desocupação SA, MM3)</t>
  </si>
  <si>
    <t xml:space="preserve">Argus</t>
  </si>
  <si>
    <t xml:space="preserve">f(desocupação SA)</t>
  </si>
  <si>
    <t xml:space="preserve">p.p.</t>
  </si>
  <si>
    <t xml:space="preserve">Conforme definição da fórmula</t>
  </si>
  <si>
    <t xml:space="preserve">Depende da SA própria</t>
  </si>
  <si>
    <t xml:space="preserve">BR-025</t>
  </si>
  <si>
    <t xml:space="preserve">Cheio</t>
  </si>
  <si>
    <t xml:space="preserve">IPCA — variação mensal</t>
  </si>
  <si>
    <t xml:space="preserve">433</t>
  </si>
  <si>
    <t xml:space="preserve">% m/m</t>
  </si>
  <si>
    <t xml:space="preserve">Var % mensal</t>
  </si>
  <si>
    <t xml:space="preserve">Mensal, acum. 3/6/9/12m (encadeado), 3m/6m anualizado, YoY via 12m</t>
  </si>
  <si>
    <t xml:space="preserve">Acumulados são encadeados, nunca somados</t>
  </si>
  <si>
    <t xml:space="preserve">BR-026</t>
  </si>
  <si>
    <t xml:space="preserve">IPCA — acumulado 12 meses</t>
  </si>
  <si>
    <t xml:space="preserve">13522</t>
  </si>
  <si>
    <t xml:space="preserve">Conferência do cálculo próprio</t>
  </si>
  <si>
    <t xml:space="preserve">BR-027</t>
  </si>
  <si>
    <t xml:space="preserve">IPCA-15</t>
  </si>
  <si>
    <t xml:space="preserve">7478</t>
  </si>
  <si>
    <t xml:space="preserve">Prévia</t>
  </si>
  <si>
    <t xml:space="preserve">BR-028</t>
  </si>
  <si>
    <t xml:space="preserve">INPC</t>
  </si>
  <si>
    <t xml:space="preserve">188</t>
  </si>
  <si>
    <t xml:space="preserve">BR-029</t>
  </si>
  <si>
    <t xml:space="preserve">Núcleos</t>
  </si>
  <si>
    <t xml:space="preserve">Núcleo médias aparadas sem suavização (MA)</t>
  </si>
  <si>
    <t xml:space="preserve">11426</t>
  </si>
  <si>
    <t xml:space="preserve">BR-030</t>
  </si>
  <si>
    <t xml:space="preserve">Núcleo médias aparadas com suavização (MS)</t>
  </si>
  <si>
    <t xml:space="preserve">4466</t>
  </si>
  <si>
    <t xml:space="preserve">BR-031</t>
  </si>
  <si>
    <t xml:space="preserve">Núcleo por exclusão EX0 (sem monitorados e alim. domicílio)</t>
  </si>
  <si>
    <t xml:space="preserve">11427</t>
  </si>
  <si>
    <t xml:space="preserve">BR-032</t>
  </si>
  <si>
    <t xml:space="preserve">Núcleo por exclusão EX2</t>
  </si>
  <si>
    <t xml:space="preserve">16121</t>
  </si>
  <si>
    <t xml:space="preserve">BR-033</t>
  </si>
  <si>
    <t xml:space="preserve">Núcleo de dupla ponderação (DP)</t>
  </si>
  <si>
    <t xml:space="preserve">16122</t>
  </si>
  <si>
    <t xml:space="preserve">BR-034</t>
  </si>
  <si>
    <t xml:space="preserve">Núcleos EX3 e P55</t>
  </si>
  <si>
    <t xml:space="preserve">Não encontrados no portal do BCB por "núcleo ex3" nem "p55" (busca de 2026-10-04); localizar no SGS</t>
  </si>
  <si>
    <t xml:space="preserve">BR-035</t>
  </si>
  <si>
    <t xml:space="preserve">Aberturas</t>
  </si>
  <si>
    <t xml:space="preserve">Preços livres</t>
  </si>
  <si>
    <t xml:space="preserve">11428</t>
  </si>
  <si>
    <t xml:space="preserve">BR-036</t>
  </si>
  <si>
    <t xml:space="preserve">Preços monitorados</t>
  </si>
  <si>
    <t xml:space="preserve">4449</t>
  </si>
  <si>
    <t xml:space="preserve">BR-037</t>
  </si>
  <si>
    <t xml:space="preserve">Serviços</t>
  </si>
  <si>
    <t xml:space="preserve">10844</t>
  </si>
  <si>
    <t xml:space="preserve">BR-038</t>
  </si>
  <si>
    <t xml:space="preserve">Bens industriais e alimentação no domicílio</t>
  </si>
  <si>
    <t xml:space="preserve">27863 / 27864</t>
  </si>
  <si>
    <t xml:space="preserve">BR-039</t>
  </si>
  <si>
    <t xml:space="preserve">Comercializáveis e não comercializáveis</t>
  </si>
  <si>
    <t xml:space="preserve">4447 / 4448</t>
  </si>
  <si>
    <t xml:space="preserve">BR-040</t>
  </si>
  <si>
    <t xml:space="preserve">Índice de difusão</t>
  </si>
  <si>
    <t xml:space="preserve">21379</t>
  </si>
  <si>
    <t xml:space="preserve">BR-041</t>
  </si>
  <si>
    <t xml:space="preserve">IPCA por subitem e peso</t>
  </si>
  <si>
    <t xml:space="preserve">t7060</t>
  </si>
  <si>
    <t xml:space="preserve">% m/m e peso</t>
  </si>
  <si>
    <t xml:space="preserve">Base para calcular serviços subjacentes, supercore BR e aberturas próprias</t>
  </si>
  <si>
    <t xml:space="preserve">BR-042</t>
  </si>
  <si>
    <t xml:space="preserve">Serviços subjacentes / supercore BR</t>
  </si>
  <si>
    <t xml:space="preserve">f(t7060)</t>
  </si>
  <si>
    <t xml:space="preserve">Recalcular com a metodologia do BCB e validar contra o RPM</t>
  </si>
  <si>
    <t xml:space="preserve">BR-043</t>
  </si>
  <si>
    <t xml:space="preserve">Atacado</t>
  </si>
  <si>
    <t xml:space="preserve">IGP-M e IGP-DI</t>
  </si>
  <si>
    <t xml:space="preserve">189 / 190</t>
  </si>
  <si>
    <t xml:space="preserve">Equivalente ao PPI na ótica de preços ao produtor</t>
  </si>
  <si>
    <t xml:space="preserve">BR-044</t>
  </si>
  <si>
    <t xml:space="preserve">IPA (atacado) e INCC</t>
  </si>
  <si>
    <t xml:space="preserve">BR-045</t>
  </si>
  <si>
    <t xml:space="preserve">IC-Br — índice de commodities BCB (total, agro, metal, energia)</t>
  </si>
  <si>
    <t xml:space="preserve">27574–27577</t>
  </si>
  <si>
    <t xml:space="preserve">Equivalente a container freight/commodities como indicador antecedente</t>
  </si>
  <si>
    <t xml:space="preserve">BR-046</t>
  </si>
  <si>
    <t xml:space="preserve">Focus — IPCA (ano corrente, seguinte, +2, +3)</t>
  </si>
  <si>
    <t xml:space="preserve">ExpectativasMercadoAnuais · Indicador='IPCA'</t>
  </si>
  <si>
    <t xml:space="preserve">BR-047</t>
  </si>
  <si>
    <t xml:space="preserve">Focus — IPCA 12 meses à frente</t>
  </si>
  <si>
    <t xml:space="preserve">ExpectativasMercadoInflacao12Meses</t>
  </si>
  <si>
    <t xml:space="preserve">Usado no juro real ex-ante</t>
  </si>
  <si>
    <t xml:space="preserve">BR-048</t>
  </si>
  <si>
    <t xml:space="preserve">Inflação implícita (breakeven) prefixado × NTN-B</t>
  </si>
  <si>
    <t xml:space="preserve">Tesouro Transparente</t>
  </si>
  <si>
    <t xml:space="preserve">Taxas históricas do Tesouro Direto (CSV)</t>
  </si>
  <si>
    <t xml:space="preserve">Equivalente ao 5y5y dos EUA</t>
  </si>
  <si>
    <t xml:space="preserve">BR-049</t>
  </si>
  <si>
    <t xml:space="preserve">Meta</t>
  </si>
  <si>
    <t xml:space="preserve">Meta de inflação e intervalo de tolerância</t>
  </si>
  <si>
    <t xml:space="preserve">BCB / CMN</t>
  </si>
  <si>
    <t xml:space="preserve">Anual</t>
  </si>
  <si>
    <t xml:space="preserve">Tabela própria; meta contínua desde 2025</t>
  </si>
  <si>
    <t xml:space="preserve">BR-050</t>
  </si>
  <si>
    <t xml:space="preserve">Juros</t>
  </si>
  <si>
    <t xml:space="preserve">Meta Selic definida pelo Copom</t>
  </si>
  <si>
    <t xml:space="preserve">432</t>
  </si>
  <si>
    <t xml:space="preserve">% a.a.</t>
  </si>
  <si>
    <t xml:space="preserve">Fonte dos ciclos do Copom; o SGS registra a meta vigente até a próxima reunião (data futura é normal)</t>
  </si>
  <si>
    <t xml:space="preserve">BR-051</t>
  </si>
  <si>
    <t xml:space="preserve">Selic efetiva diária</t>
  </si>
  <si>
    <t xml:space="preserve">11</t>
  </si>
  <si>
    <t xml:space="preserve">% a.d.</t>
  </si>
  <si>
    <t xml:space="preserve">Confirmado no portal BCB</t>
  </si>
  <si>
    <t xml:space="preserve">BR-052</t>
  </si>
  <si>
    <t xml:space="preserve">Selic anualizada base 252</t>
  </si>
  <si>
    <t xml:space="preserve">1178</t>
  </si>
  <si>
    <t xml:space="preserve">Confirmado no portal BCB; limite de 10 anos por consulta</t>
  </si>
  <si>
    <t xml:space="preserve">BR-053</t>
  </si>
  <si>
    <t xml:space="preserve">Selic acumulada no mês anualizada</t>
  </si>
  <si>
    <t xml:space="preserve">4189</t>
  </si>
  <si>
    <t xml:space="preserve">Respondeu 13,83 em 09/2026</t>
  </si>
  <si>
    <t xml:space="preserve">BR-054</t>
  </si>
  <si>
    <t xml:space="preserve">CDI anualizado base 252</t>
  </si>
  <si>
    <t xml:space="preserve">4389</t>
  </si>
  <si>
    <t xml:space="preserve">BR-055</t>
  </si>
  <si>
    <t xml:space="preserve">Juro real ex-ante (proxy)</t>
  </si>
  <si>
    <t xml:space="preserve">f(432, Focus IPCA 12m)</t>
  </si>
  <si>
    <t xml:space="preserve">v2: trocar por swap DI 360 deflacionado</t>
  </si>
  <si>
    <t xml:space="preserve">BR-056</t>
  </si>
  <si>
    <t xml:space="preserve">Focus — Selic por reunião do Copom</t>
  </si>
  <si>
    <t xml:space="preserve">ExpectativasMercadoSelic</t>
  </si>
  <si>
    <t xml:space="preserve">Equivalente ao WIRP/dotplot</t>
  </si>
  <si>
    <t xml:space="preserve">BR-057</t>
  </si>
  <si>
    <t xml:space="preserve">Copom</t>
  </si>
  <si>
    <t xml:space="preserve">Histórico de decisões (data, decisão, bps, unanimidade)</t>
  </si>
  <si>
    <t xml:space="preserve">BCB + SGS 432</t>
  </si>
  <si>
    <t xml:space="preserve">Por reunião</t>
  </si>
  <si>
    <t xml:space="preserve">bps</t>
  </si>
  <si>
    <t xml:space="preserve">Evento</t>
  </si>
  <si>
    <t xml:space="preserve">Dataset próprio, conferido contra o SGS</t>
  </si>
  <si>
    <t xml:space="preserve">BR-058</t>
  </si>
  <si>
    <t xml:space="preserve">Comunicados e atas (texto)</t>
  </si>
  <si>
    <t xml:space="preserve">BCB site</t>
  </si>
  <si>
    <t xml:space="preserve">API do site (não documentada) + RSS</t>
  </si>
  <si>
    <t xml:space="preserve">Texto</t>
  </si>
  <si>
    <t xml:space="preserve">Base para o agregador e, depois, análise de linguagem</t>
  </si>
  <si>
    <t xml:space="preserve">BR-059</t>
  </si>
  <si>
    <t xml:space="preserve">Agregados</t>
  </si>
  <si>
    <t xml:space="preserve">M1 (saldo fim de período, SA)</t>
  </si>
  <si>
    <t xml:space="preserve">27841</t>
  </si>
  <si>
    <t xml:space="preserve">R$ mil</t>
  </si>
  <si>
    <t xml:space="preserve">Sem ajuste: 27791</t>
  </si>
  <si>
    <t xml:space="preserve">BR-060</t>
  </si>
  <si>
    <t xml:space="preserve">M2 (saldo fim de período, SA)</t>
  </si>
  <si>
    <t xml:space="preserve">27842</t>
  </si>
  <si>
    <t xml:space="preserve">Sem ajuste: 27810</t>
  </si>
  <si>
    <t xml:space="preserve">BR-061</t>
  </si>
  <si>
    <t xml:space="preserve">M3 e M4 (saldo fim de período)</t>
  </si>
  <si>
    <t xml:space="preserve">27813 / 27815</t>
  </si>
  <si>
    <t xml:space="preserve">BR-062</t>
  </si>
  <si>
    <t xml:space="preserve">Crédito</t>
  </si>
  <si>
    <t xml:space="preserve">Saldo de crédito total, PF e PJ</t>
  </si>
  <si>
    <t xml:space="preserve">20539 / 20541 / 20540</t>
  </si>
  <si>
    <t xml:space="preserve">BR-063</t>
  </si>
  <si>
    <t xml:space="preserve">Saldo livre × direcionado</t>
  </si>
  <si>
    <t xml:space="preserve">20542 / 20593</t>
  </si>
  <si>
    <t xml:space="preserve">Transmissão da Selic ocorre no livre</t>
  </si>
  <si>
    <t xml:space="preserve">BR-064</t>
  </si>
  <si>
    <t xml:space="preserve">Concessões total, PF e PJ</t>
  </si>
  <si>
    <t xml:space="preserve">20631 / 20633 / 20632</t>
  </si>
  <si>
    <t xml:space="preserve">BR-065</t>
  </si>
  <si>
    <t xml:space="preserve">Taxa média de juros total, PF e PJ</t>
  </si>
  <si>
    <t xml:space="preserve">20714 / 20716 / 20715</t>
  </si>
  <si>
    <t xml:space="preserve">BR-066</t>
  </si>
  <si>
    <t xml:space="preserve">Spread médio total</t>
  </si>
  <si>
    <t xml:space="preserve">20783</t>
  </si>
  <si>
    <t xml:space="preserve">BR-067</t>
  </si>
  <si>
    <t xml:space="preserve">Indicador de custo do crédito (ICC)</t>
  </si>
  <si>
    <t xml:space="preserve">25351</t>
  </si>
  <si>
    <t xml:space="preserve">BR-068</t>
  </si>
  <si>
    <t xml:space="preserve">Condições</t>
  </si>
  <si>
    <t xml:space="preserve">Índice de condições financeiras BR</t>
  </si>
  <si>
    <t xml:space="preserve">f(juros, câmbio, bolsa, spread)</t>
  </si>
  <si>
    <t xml:space="preserve">Equivalente ao NFCI</t>
  </si>
  <si>
    <t xml:space="preserve">BR-069</t>
  </si>
  <si>
    <t xml:space="preserve">Resultado</t>
  </si>
  <si>
    <t xml:space="preserve">Resultado primário do setor público consolidado — 12m % PIB</t>
  </si>
  <si>
    <t xml:space="preserve">5793</t>
  </si>
  <si>
    <t xml:space="preserve">% PIB</t>
  </si>
  <si>
    <t xml:space="preserve">BR-070</t>
  </si>
  <si>
    <t xml:space="preserve">Resultado nominal e juros nominais — 12m % PIB</t>
  </si>
  <si>
    <t xml:space="preserve">5727 / 5760</t>
  </si>
  <si>
    <t xml:space="preserve">5727 resultado nominal, 5760 juros nominais; NFSP sem desvalorização cambial, 12m % PIB</t>
  </si>
  <si>
    <t xml:space="preserve">BR-071</t>
  </si>
  <si>
    <t xml:space="preserve">Primário por esfera (Gov. Central, regionais, estatais)</t>
  </si>
  <si>
    <t xml:space="preserve">5783 / 5789</t>
  </si>
  <si>
    <t xml:space="preserve">5783 Governo Federal e BC, 5789 estatais (12m % PIB); governos regionais: código a localizar</t>
  </si>
  <si>
    <t xml:space="preserve">BR-072</t>
  </si>
  <si>
    <t xml:space="preserve">Dívida</t>
  </si>
  <si>
    <t xml:space="preserve">Dívida bruta do governo geral (DBGG) % PIB</t>
  </si>
  <si>
    <t xml:space="preserve">13762</t>
  </si>
  <si>
    <t xml:space="preserve">BR-073</t>
  </si>
  <si>
    <t xml:space="preserve">Dívida líquida do setor público (DLSP) % PIB</t>
  </si>
  <si>
    <t xml:space="preserve">4513</t>
  </si>
  <si>
    <t xml:space="preserve">BR-074</t>
  </si>
  <si>
    <t xml:space="preserve">Gov. Central</t>
  </si>
  <si>
    <t xml:space="preserve">Receitas e despesas do Governo Central (RTN)</t>
  </si>
  <si>
    <t xml:space="preserve">RTN (xlsx/CKAN)</t>
  </si>
  <si>
    <t xml:space="preserve">Abertura por rubrica; despesa real deflacionada</t>
  </si>
  <si>
    <t xml:space="preserve">BR-075</t>
  </si>
  <si>
    <t xml:space="preserve">Meta de primário e bandas do arcabouço</t>
  </si>
  <si>
    <t xml:space="preserve">Tesouro / LDO</t>
  </si>
  <si>
    <t xml:space="preserve">BR-076</t>
  </si>
  <si>
    <t xml:space="preserve">Composição e prazo médio da DPF</t>
  </si>
  <si>
    <t xml:space="preserve">RMD (xlsx)</t>
  </si>
  <si>
    <t xml:space="preserve">BR-077</t>
  </si>
  <si>
    <t xml:space="preserve">Projeções</t>
  </si>
  <si>
    <t xml:space="preserve">Focus — primário e dívida líquida</t>
  </si>
  <si>
    <t xml:space="preserve">ExpectativasMercadoAnuais</t>
  </si>
  <si>
    <t xml:space="preserve">BR-078</t>
  </si>
  <si>
    <t xml:space="preserve">Projeções da IFI (cenários)</t>
  </si>
  <si>
    <t xml:space="preserve">IFI / Senado</t>
  </si>
  <si>
    <t xml:space="preserve">Relatórios (manual)</t>
  </si>
  <si>
    <t xml:space="preserve">Equivalente às projeções do CBO</t>
  </si>
  <si>
    <t xml:space="preserve">BR-079</t>
  </si>
  <si>
    <t xml:space="preserve">Balança</t>
  </si>
  <si>
    <t xml:space="preserve">Exportações, importações e saldo</t>
  </si>
  <si>
    <t xml:space="preserve">ComexStat (MDIC)</t>
  </si>
  <si>
    <t xml:space="preserve">API ComexStat</t>
  </si>
  <si>
    <t xml:space="preserve">US$ mi</t>
  </si>
  <si>
    <t xml:space="preserve">Também semanal</t>
  </si>
  <si>
    <t xml:space="preserve">BR-080</t>
  </si>
  <si>
    <t xml:space="preserve">Exportações por produto e destino (China, EUA, UE)</t>
  </si>
  <si>
    <t xml:space="preserve">Exposição a China e tarifas</t>
  </si>
  <si>
    <t xml:space="preserve">BR-081</t>
  </si>
  <si>
    <t xml:space="preserve">BP</t>
  </si>
  <si>
    <t xml:space="preserve">Transações correntes</t>
  </si>
  <si>
    <t xml:space="preserve">22701</t>
  </si>
  <si>
    <t xml:space="preserve">BR-082</t>
  </si>
  <si>
    <t xml:space="preserve">Transações correntes — 12m % PIB</t>
  </si>
  <si>
    <t xml:space="preserve">23079</t>
  </si>
  <si>
    <t xml:space="preserve">Transações correntes acumulado em 12 meses em relação ao PIB</t>
  </si>
  <si>
    <t xml:space="preserve">BR-083</t>
  </si>
  <si>
    <t xml:space="preserve">Investimento direto no país (IDP)</t>
  </si>
  <si>
    <t xml:space="preserve">22885</t>
  </si>
  <si>
    <t xml:space="preserve">BR-084</t>
  </si>
  <si>
    <t xml:space="preserve">Reservas</t>
  </si>
  <si>
    <t xml:space="preserve">Reservas internacionais (conceito caixa, diária)</t>
  </si>
  <si>
    <t xml:space="preserve">13621</t>
  </si>
  <si>
    <t xml:space="preserve">BR-085</t>
  </si>
  <si>
    <t xml:space="preserve">Câmbio</t>
  </si>
  <si>
    <t xml:space="preserve">Taxa de câmbio livre — dólar americano (venda)</t>
  </si>
  <si>
    <t xml:space="preserve">1</t>
  </si>
  <si>
    <t xml:space="preserve">R$/US$</t>
  </si>
  <si>
    <t xml:space="preserve">Título oficial SGS 1: "Taxa de câmbio - Livre - Dólar americano (venda) - diário"</t>
  </si>
  <si>
    <t xml:space="preserve">BR-086</t>
  </si>
  <si>
    <t xml:space="preserve">Taxa de câmbio efetiva real</t>
  </si>
  <si>
    <t xml:space="preserve">11752</t>
  </si>
  <si>
    <t xml:space="preserve">BR-087</t>
  </si>
  <si>
    <t xml:space="preserve">Fluxo cambial (comercial e financeiro)</t>
  </si>
  <si>
    <t xml:space="preserve">BR-088</t>
  </si>
  <si>
    <t xml:space="preserve">Focus — câmbio fim de ano</t>
  </si>
  <si>
    <t xml:space="preserve">ExpectativasMercadoAnuais · Indicador='Câmbio'</t>
  </si>
  <si>
    <t xml:space="preserve">BR-089</t>
  </si>
  <si>
    <t xml:space="preserve">Commodities</t>
  </si>
  <si>
    <t xml:space="preserve">Minério de ferro, petróleo Brent, soja</t>
  </si>
  <si>
    <t xml:space="preserve">FRED</t>
  </si>
  <si>
    <t xml:space="preserve">PIORECRUSDM / DCOILBRENTEU / PSOYBUSDM</t>
  </si>
  <si>
    <t xml:space="preserve">Mensal/Diária</t>
  </si>
  <si>
    <t xml:space="preserve">US$</t>
  </si>
  <si>
    <t xml:space="preserve">BR-090</t>
  </si>
  <si>
    <t xml:space="preserve">Termos de troca</t>
  </si>
  <si>
    <t xml:space="preserve">FUNCEX / Ipeadata</t>
  </si>
  <si>
    <t xml:space="preserve">BR-091</t>
  </si>
  <si>
    <t xml:space="preserve">Balanço</t>
  </si>
  <si>
    <t xml:space="preserve">Endividamento das famílias com o SFN (% renda 12m)</t>
  </si>
  <si>
    <t xml:space="preserve">29037</t>
  </si>
  <si>
    <t xml:space="preserve">Ex-habitacional: 29038</t>
  </si>
  <si>
    <t xml:space="preserve">BR-092</t>
  </si>
  <si>
    <t xml:space="preserve">Comprometimento de renda com serviço da dívida</t>
  </si>
  <si>
    <t xml:space="preserve">29034</t>
  </si>
  <si>
    <t xml:space="preserve">Equivalente a debt service % DPI</t>
  </si>
  <si>
    <t xml:space="preserve">BR-093</t>
  </si>
  <si>
    <t xml:space="preserve">Cartão de crédito total (PF)</t>
  </si>
  <si>
    <t xml:space="preserve">20590</t>
  </si>
  <si>
    <t xml:space="preserve">BR-094</t>
  </si>
  <si>
    <t xml:space="preserve">Crédito pessoal total (PF)</t>
  </si>
  <si>
    <t xml:space="preserve">20580</t>
  </si>
  <si>
    <t xml:space="preserve">BR-095</t>
  </si>
  <si>
    <t xml:space="preserve">Financiamento imobiliário (PF)</t>
  </si>
  <si>
    <t xml:space="preserve">20612</t>
  </si>
  <si>
    <t xml:space="preserve">BR-096</t>
  </si>
  <si>
    <t xml:space="preserve">Inadimplência PF</t>
  </si>
  <si>
    <t xml:space="preserve">21084</t>
  </si>
  <si>
    <t xml:space="preserve">BR-097</t>
  </si>
  <si>
    <t xml:space="preserve">Renda</t>
  </si>
  <si>
    <t xml:space="preserve">Massa salarial real e consumo das famílias</t>
  </si>
  <si>
    <t xml:space="preserve">ver Trabalho e Atividade</t>
  </si>
  <si>
    <t xml:space="preserve">Reaproveita séries das outras abas</t>
  </si>
  <si>
    <t xml:space="preserve">BR-098</t>
  </si>
  <si>
    <t xml:space="preserve">Confiança do consumidor FGV</t>
  </si>
  <si>
    <t xml:space="preserve">BR-099</t>
  </si>
  <si>
    <t xml:space="preserve">Poupança</t>
  </si>
  <si>
    <t xml:space="preserve">Captação líquida da poupança</t>
  </si>
  <si>
    <t xml:space="preserve">BR-100</t>
  </si>
  <si>
    <t xml:space="preserve">Saldo PJ e inadimplência PJ</t>
  </si>
  <si>
    <t xml:space="preserve">20540 / 21083</t>
  </si>
  <si>
    <t xml:space="preserve">R$ mi / %</t>
  </si>
  <si>
    <t xml:space="preserve">BR-101</t>
  </si>
  <si>
    <t xml:space="preserve">Cartão de crédito PJ</t>
  </si>
  <si>
    <t xml:space="preserve">20564</t>
  </si>
  <si>
    <t xml:space="preserve">BR-102</t>
  </si>
  <si>
    <t xml:space="preserve">Mercado de capitais</t>
  </si>
  <si>
    <t xml:space="preserve">Emissões de debêntures e mercado de capitais</t>
  </si>
  <si>
    <t xml:space="preserve">ANBIMA</t>
  </si>
  <si>
    <t xml:space="preserve">Boletim (xlsx)</t>
  </si>
  <si>
    <t xml:space="preserve">BR-103</t>
  </si>
  <si>
    <t xml:space="preserve">Stress</t>
  </si>
  <si>
    <t xml:space="preserve">Recuperações judiciais e falências</t>
  </si>
  <si>
    <t xml:space="preserve">Serasa Experian</t>
  </si>
  <si>
    <t xml:space="preserve">Indicador público (site)</t>
  </si>
  <si>
    <t xml:space="preserve">Equivalente ao bankruptcy index</t>
  </si>
  <si>
    <t xml:space="preserve">BR-104</t>
  </si>
  <si>
    <t xml:space="preserve">Resultados</t>
  </si>
  <si>
    <t xml:space="preserve">Lucro e endividamento de empresas abertas</t>
  </si>
  <si>
    <t xml:space="preserve">CVM Dados Abertos</t>
  </si>
  <si>
    <t xml:space="preserve">DFP/ITR</t>
  </si>
  <si>
    <t xml:space="preserve">Trabalho pesado de limpeza</t>
  </si>
  <si>
    <t xml:space="preserve">BR-105</t>
  </si>
  <si>
    <t xml:space="preserve">Investimento</t>
  </si>
  <si>
    <t xml:space="preserve">FBCF</t>
  </si>
  <si>
    <t xml:space="preserve">Já carregada em Atividade</t>
  </si>
  <si>
    <t xml:space="preserve">BR-106</t>
  </si>
  <si>
    <t xml:space="preserve">Bolsa</t>
  </si>
  <si>
    <t xml:space="preserve">Ibovespa</t>
  </si>
  <si>
    <t xml:space="preserve">FMP / B3</t>
  </si>
  <si>
    <t xml:space="preserve">^BVSP</t>
  </si>
  <si>
    <t xml:space="preserve">Pontos</t>
  </si>
  <si>
    <t xml:space="preserve">Faixa da aba Central</t>
  </si>
  <si>
    <t xml:space="preserve">BR-107</t>
  </si>
  <si>
    <t xml:space="preserve">Curva DI futuro (vértices)</t>
  </si>
  <si>
    <t xml:space="preserve">ANBIMA ETTJ / B3</t>
  </si>
  <si>
    <t xml:space="preserve">Arquivos diários</t>
  </si>
  <si>
    <t xml:space="preserve">Formato instável: precisa de teste de contrato</t>
  </si>
  <si>
    <t xml:space="preserve">BR-108</t>
  </si>
  <si>
    <t xml:space="preserve">Taxas de títulos públicos (pré e NTN-B)</t>
  </si>
  <si>
    <t xml:space="preserve">Taxas históricas (CSV)</t>
  </si>
  <si>
    <t xml:space="preserve">BR-109</t>
  </si>
  <si>
    <t xml:space="preserve">Risco-país</t>
  </si>
  <si>
    <t xml:space="preserve">EMBI+ Brasil</t>
  </si>
  <si>
    <t xml:space="preserve">Ipeadata</t>
  </si>
  <si>
    <t xml:space="preserve">JPM366_EMBI366</t>
  </si>
  <si>
    <t xml:space="preserve">Conferir se ainda é atualizado</t>
  </si>
  <si>
    <t xml:space="preserve">BR-110</t>
  </si>
  <si>
    <t xml:space="preserve">CDS 5 anos Brasil</t>
  </si>
  <si>
    <t xml:space="preserve">Bloomberg / LSEG</t>
  </si>
  <si>
    <t xml:space="preserve">Sem fonte gratuita confiável</t>
  </si>
  <si>
    <t xml:space="preserve">BR-111</t>
  </si>
  <si>
    <t xml:space="preserve">Fluxo estrangeiro na B3</t>
  </si>
  <si>
    <t xml:space="preserve">B3</t>
  </si>
  <si>
    <t xml:space="preserve">Site (scraping)</t>
  </si>
  <si>
    <t xml:space="preserve">Alto risco técnico</t>
  </si>
  <si>
    <t xml:space="preserve">BR-112</t>
  </si>
  <si>
    <t xml:space="preserve">Congresso</t>
  </si>
  <si>
    <t xml:space="preserve">Agenda, proposições e votações da Câmara</t>
  </si>
  <si>
    <t xml:space="preserve">Câmara Dados Abertos</t>
  </si>
  <si>
    <t xml:space="preserve">API v2</t>
  </si>
  <si>
    <t xml:space="preserve">BR-113</t>
  </si>
  <si>
    <t xml:space="preserve">Agenda e votações do Senado</t>
  </si>
  <si>
    <t xml:space="preserve">Senado Dados Abertos</t>
  </si>
  <si>
    <t xml:space="preserve">API</t>
  </si>
  <si>
    <t xml:space="preserve">BR-114</t>
  </si>
  <si>
    <t xml:space="preserve">Eleições</t>
  </si>
  <si>
    <t xml:space="preserve">Resultados eleitorais</t>
  </si>
  <si>
    <t xml:space="preserve">TSE Dados Abertos</t>
  </si>
  <si>
    <t xml:space="preserve">CSV</t>
  </si>
  <si>
    <t xml:space="preserve">Por eleição</t>
  </si>
  <si>
    <t xml:space="preserve">Votos</t>
  </si>
  <si>
    <t xml:space="preserve">BR-115</t>
  </si>
  <si>
    <t xml:space="preserve">Opinião</t>
  </si>
  <si>
    <t xml:space="preserve">Aprovação do governo e pesquisas eleitorais</t>
  </si>
  <si>
    <t xml:space="preserve">Institutos (Quaest, Datafolha etc.)</t>
  </si>
  <si>
    <t xml:space="preserve">Sem API; tabela própria com fonte por linha</t>
  </si>
  <si>
    <t xml:space="preserve">BR-116</t>
  </si>
  <si>
    <t xml:space="preserve">Ciclos</t>
  </si>
  <si>
    <t xml:space="preserve">Ciclos do Copom desde 1999 (duração, bps, contexto, ativos)</t>
  </si>
  <si>
    <t xml:space="preserve">f(432, IPCA, câmbio, Ibov)</t>
  </si>
  <si>
    <t xml:space="preserve">Por ciclo</t>
  </si>
  <si>
    <t xml:space="preserve">bps / %</t>
  </si>
  <si>
    <t xml:space="preserve">Spec metodológica antes do código</t>
  </si>
  <si>
    <t xml:space="preserve">BR-117</t>
  </si>
  <si>
    <t xml:space="preserve">Juro neutro</t>
  </si>
  <si>
    <t xml:space="preserve">Juro neutro implícito no Focus (Selic longa − IPCA longo)</t>
  </si>
  <si>
    <t xml:space="preserve">f(Focus Selic e IPCA t+3)</t>
  </si>
  <si>
    <t xml:space="preserve">Leitura de mercado, não estimativa estrutural</t>
  </si>
  <si>
    <t xml:space="preserve">BR-118</t>
  </si>
  <si>
    <t xml:space="preserve">Juro real ex-ante × neutro (postura monetária)</t>
  </si>
  <si>
    <t xml:space="preserve">f(juro real, neutro)</t>
  </si>
  <si>
    <t xml:space="preserve">BR-119</t>
  </si>
  <si>
    <t xml:space="preserve">Estimativas de neutro e hiato do BCB</t>
  </si>
  <si>
    <t xml:space="preserve">BCB RPM</t>
  </si>
  <si>
    <t xml:space="preserve">Manual (boxes do RPM)</t>
  </si>
  <si>
    <t xml:space="preserve">BR-120</t>
  </si>
  <si>
    <t xml:space="preserve">Modelos</t>
  </si>
  <si>
    <t xml:space="preserve">Regra de Taylor</t>
  </si>
  <si>
    <t xml:space="preserve">f(neutro, hiato, IPCA, meta)</t>
  </si>
  <si>
    <t xml:space="preserve">BR-121</t>
  </si>
  <si>
    <t xml:space="preserve">NAIRU e curva de Phillips</t>
  </si>
  <si>
    <t xml:space="preserve">Modelo próprio</t>
  </si>
  <si>
    <t xml:space="preserve">Documentar especificação</t>
  </si>
  <si>
    <t xml:space="preserve">BR-122</t>
  </si>
  <si>
    <t xml:space="preserve">Hiato do produto (próprio, BCB, IFI)</t>
  </si>
  <si>
    <t xml:space="preserve">Argus + BCB + IFI</t>
  </si>
  <si>
    <t xml:space="preserve">Modelo + manual</t>
  </si>
  <si>
    <t xml:space="preserve">BR-123</t>
  </si>
  <si>
    <t xml:space="preserve">Diretores: mandato, indicação, votos por reunião</t>
  </si>
  <si>
    <t xml:space="preserve">BCB</t>
  </si>
  <si>
    <t xml:space="preserve">BR-124</t>
  </si>
  <si>
    <t xml:space="preserve">Tom de discursos por diretor (hawk/dove)</t>
  </si>
  <si>
    <t xml:space="preserve">BCB + imprensa</t>
  </si>
  <si>
    <t xml:space="preserve">Textos + LLM</t>
  </si>
  <si>
    <t xml:space="preserve">Por evento</t>
  </si>
  <si>
    <t xml:space="preserve">Escore</t>
  </si>
  <si>
    <t xml:space="preserve">Exige metodologia validada; custo de API</t>
  </si>
  <si>
    <t xml:space="preserve">BR-125</t>
  </si>
  <si>
    <t xml:space="preserve">Análogos</t>
  </si>
  <si>
    <t xml:space="preserve">Busca de períodos históricos semelhantes</t>
  </si>
  <si>
    <t xml:space="preserve">f(várias)</t>
  </si>
  <si>
    <t xml:space="preserve">EUA — catálogo de séries</t>
  </si>
  <si>
    <t xml:space="preserve">Mapeamento da planilha original de dados US para fonte e código.</t>
  </si>
  <si>
    <t xml:space="preserve">US-001</t>
  </si>
  <si>
    <t xml:space="preserve">Payroll</t>
  </si>
  <si>
    <t xml:space="preserve">Non-farm Payrolls</t>
  </si>
  <si>
    <t xml:space="preserve">FRED (BLS)</t>
  </si>
  <si>
    <t xml:space="preserve">PAYEMS</t>
  </si>
  <si>
    <t xml:space="preserve">Mil</t>
  </si>
  <si>
    <t xml:space="preserve">US-002</t>
  </si>
  <si>
    <t xml:space="preserve">Desemprego</t>
  </si>
  <si>
    <t xml:space="preserve">Unemployment Rate (U3)</t>
  </si>
  <si>
    <t xml:space="preserve">UNRATE</t>
  </si>
  <si>
    <t xml:space="preserve">US-003</t>
  </si>
  <si>
    <t xml:space="preserve">Unemployment Breakdown (U6, demografia)</t>
  </si>
  <si>
    <t xml:space="preserve">U6RATE + séries LNS140000xx</t>
  </si>
  <si>
    <t xml:space="preserve">US-004</t>
  </si>
  <si>
    <t xml:space="preserve">Participação</t>
  </si>
  <si>
    <t xml:space="preserve">Labour Force Participation (total e 25–54)</t>
  </si>
  <si>
    <t xml:space="preserve">CIVPART / LNS11300060</t>
  </si>
  <si>
    <t xml:space="preserve">US-005</t>
  </si>
  <si>
    <t xml:space="preserve">JOLTS</t>
  </si>
  <si>
    <t xml:space="preserve">Job Openings to Unemployed Ratio</t>
  </si>
  <si>
    <t xml:space="preserve">JTSJOL / UNEMPLOY</t>
  </si>
  <si>
    <t xml:space="preserve">x</t>
  </si>
  <si>
    <t xml:space="preserve">US-006</t>
  </si>
  <si>
    <t xml:space="preserve">JOLTS Openings, Hires, Quits, Layoffs</t>
  </si>
  <si>
    <t xml:space="preserve">JTSJOL / JTSHIL / JTSQUL / JTSLDL</t>
  </si>
  <si>
    <t xml:space="preserve">US-007</t>
  </si>
  <si>
    <t xml:space="preserve">Claims</t>
  </si>
  <si>
    <t xml:space="preserve">Jobless Claims (Initial &amp; Continuing)</t>
  </si>
  <si>
    <t xml:space="preserve">FRED (DOL)</t>
  </si>
  <si>
    <t xml:space="preserve">ICSA / CCSA</t>
  </si>
  <si>
    <t xml:space="preserve">US-008</t>
  </si>
  <si>
    <t xml:space="preserve">Pesquisas</t>
  </si>
  <si>
    <t xml:space="preserve">Jobs Hard to Find (Conference Board)</t>
  </si>
  <si>
    <t xml:space="preserve">Conference Board</t>
  </si>
  <si>
    <t xml:space="preserve">Proxy gratuita: nenhuma equivalente direta</t>
  </si>
  <si>
    <t xml:space="preserve">US-009</t>
  </si>
  <si>
    <t xml:space="preserve">NFIB Job Openings Hard to Fill / Hiring Plans</t>
  </si>
  <si>
    <t xml:space="preserve">NFIB</t>
  </si>
  <si>
    <t xml:space="preserve">Relatório mensal (PDF)</t>
  </si>
  <si>
    <t xml:space="preserve">US-010</t>
  </si>
  <si>
    <t xml:space="preserve">Beveridge Curve</t>
  </si>
  <si>
    <t xml:space="preserve">UNRATE × JTSJOR</t>
  </si>
  <si>
    <t xml:space="preserve">US-011</t>
  </si>
  <si>
    <t xml:space="preserve">Salários</t>
  </si>
  <si>
    <t xml:space="preserve">Employment Cost Index</t>
  </si>
  <si>
    <t xml:space="preserve">ECIALLCIV</t>
  </si>
  <si>
    <t xml:space="preserve">US-012</t>
  </si>
  <si>
    <t xml:space="preserve">Average Hourly Earnings</t>
  </si>
  <si>
    <t xml:space="preserve">CES0500000003</t>
  </si>
  <si>
    <t xml:space="preserve">US-013</t>
  </si>
  <si>
    <t xml:space="preserve">Real Wage Growth</t>
  </si>
  <si>
    <t xml:space="preserve">f(CES0500000003, CPIAUCSL)</t>
  </si>
  <si>
    <t xml:space="preserve">US-014</t>
  </si>
  <si>
    <t xml:space="preserve">Wage Growth Tracker (job switcher)</t>
  </si>
  <si>
    <t xml:space="preserve">Atlanta Fed</t>
  </si>
  <si>
    <t xml:space="preserve">Download (xlsx)</t>
  </si>
  <si>
    <t xml:space="preserve">Não encontrado no FRED com o código testado</t>
  </si>
  <si>
    <t xml:space="preserve">US-015</t>
  </si>
  <si>
    <t xml:space="preserve">Sahm Rule (real-time)</t>
  </si>
  <si>
    <t xml:space="preserve">SAHMREALTIME</t>
  </si>
  <si>
    <t xml:space="preserve">0,00 p.p. em 09/2026</t>
  </si>
  <si>
    <t xml:space="preserve">US-016</t>
  </si>
  <si>
    <t xml:space="preserve">CPI</t>
  </si>
  <si>
    <t xml:space="preserve">CPI Headline e Core</t>
  </si>
  <si>
    <t xml:space="preserve">CPIAUCSL / CPILFESL</t>
  </si>
  <si>
    <t xml:space="preserve">US-017</t>
  </si>
  <si>
    <t xml:space="preserve">Supercore (services less rent of shelter)</t>
  </si>
  <si>
    <t xml:space="preserve">CUSR0000SASL2RS</t>
  </si>
  <si>
    <t xml:space="preserve">Proxy; supercore estrito exclui também energia</t>
  </si>
  <si>
    <t xml:space="preserve">US-018</t>
  </si>
  <si>
    <t xml:space="preserve">Rent CPI e Owner Equivalent Rent</t>
  </si>
  <si>
    <t xml:space="preserve">CUSR0000SEHA / CUSR0000SEHC</t>
  </si>
  <si>
    <t xml:space="preserve">US-019</t>
  </si>
  <si>
    <t xml:space="preserve">PCE</t>
  </si>
  <si>
    <t xml:space="preserve">PCE e Core PCE</t>
  </si>
  <si>
    <t xml:space="preserve">FRED (BEA)</t>
  </si>
  <si>
    <t xml:space="preserve">PCEPI / PCEPILFE</t>
  </si>
  <si>
    <t xml:space="preserve">US-020</t>
  </si>
  <si>
    <t xml:space="preserve">Trimmed Mean PCE (Dallas Fed, 12m)</t>
  </si>
  <si>
    <t xml:space="preserve">PCETRIM12M159SFRBDAL</t>
  </si>
  <si>
    <t xml:space="preserve">US-021</t>
  </si>
  <si>
    <t xml:space="preserve">PPI</t>
  </si>
  <si>
    <t xml:space="preserve">PPI Final Demand</t>
  </si>
  <si>
    <t xml:space="preserve">PPIFIS</t>
  </si>
  <si>
    <t xml:space="preserve">US-022</t>
  </si>
  <si>
    <t xml:space="preserve">5y5y Forward Inflation Expectation</t>
  </si>
  <si>
    <t xml:space="preserve">T5YIFR</t>
  </si>
  <si>
    <t xml:space="preserve">Substitui o FRA 5Y5Y SOFR</t>
  </si>
  <si>
    <t xml:space="preserve">US-023</t>
  </si>
  <si>
    <t xml:space="preserve">FRA 5Y5Y SOFR / inflation swaps</t>
  </si>
  <si>
    <t xml:space="preserve">Bloomberg</t>
  </si>
  <si>
    <t xml:space="preserve">Usar T5YIFR</t>
  </si>
  <si>
    <t xml:space="preserve">US-024</t>
  </si>
  <si>
    <t xml:space="preserve">Michigan 1y inflation expectations</t>
  </si>
  <si>
    <t xml:space="preserve">MICH</t>
  </si>
  <si>
    <t xml:space="preserve">Adicionado</t>
  </si>
  <si>
    <t xml:space="preserve">US-025</t>
  </si>
  <si>
    <t xml:space="preserve">Antecedentes</t>
  </si>
  <si>
    <t xml:space="preserve">Manheim Used Vehicle Value Index</t>
  </si>
  <si>
    <t xml:space="preserve">Cox Automotive</t>
  </si>
  <si>
    <t xml:space="preserve">Download (site)</t>
  </si>
  <si>
    <t xml:space="preserve">US-026</t>
  </si>
  <si>
    <t xml:space="preserve">Container freight (Drewry / Freightos)</t>
  </si>
  <si>
    <t xml:space="preserve">Drewry / Freightos</t>
  </si>
  <si>
    <t xml:space="preserve">US$/FEU</t>
  </si>
  <si>
    <t xml:space="preserve">US-027</t>
  </si>
  <si>
    <t xml:space="preserve">Real GDP (nível, QoQ SAAR)</t>
  </si>
  <si>
    <t xml:space="preserve">GDPC1 / A191RL1Q225SBEA</t>
  </si>
  <si>
    <t xml:space="preserve">US$ bi 2017</t>
  </si>
  <si>
    <t xml:space="preserve">US-028</t>
  </si>
  <si>
    <t xml:space="preserve">Real GDP change (US$ tri) × Unemployment</t>
  </si>
  <si>
    <t xml:space="preserve">Δ GDPC1 × UNRATE</t>
  </si>
  <si>
    <t xml:space="preserve">US$ tri</t>
  </si>
  <si>
    <t xml:space="preserve">US-029</t>
  </si>
  <si>
    <t xml:space="preserve">GDP goods × services</t>
  </si>
  <si>
    <t xml:space="preserve">BEA API</t>
  </si>
  <si>
    <t xml:space="preserve">NIPA T10206 (a confirmar)</t>
  </si>
  <si>
    <t xml:space="preserve">US$ bi</t>
  </si>
  <si>
    <t xml:space="preserve">US-030</t>
  </si>
  <si>
    <t xml:space="preserve">GDPNow</t>
  </si>
  <si>
    <t xml:space="preserve">FRED (Atlanta Fed)</t>
  </si>
  <si>
    <t xml:space="preserve">GDPNOW</t>
  </si>
  <si>
    <t xml:space="preserve">Contínua</t>
  </si>
  <si>
    <t xml:space="preserve">% SAAR</t>
  </si>
  <si>
    <t xml:space="preserve">3,7% para 3T26 na verificação</t>
  </si>
  <si>
    <t xml:space="preserve">US-031</t>
  </si>
  <si>
    <t xml:space="preserve">Consumo</t>
  </si>
  <si>
    <t xml:space="preserve">Retail Sales (nominal e real)</t>
  </si>
  <si>
    <t xml:space="preserve">FRED (Census)</t>
  </si>
  <si>
    <t xml:space="preserve">RSAFS / RRSFS</t>
  </si>
  <si>
    <t xml:space="preserve">US-032</t>
  </si>
  <si>
    <t xml:space="preserve">Real PCE e Private Consumption YoY</t>
  </si>
  <si>
    <t xml:space="preserve">PCEC96</t>
  </si>
  <si>
    <t xml:space="preserve">US-033</t>
  </si>
  <si>
    <t xml:space="preserve">Vendas</t>
  </si>
  <si>
    <t xml:space="preserve">Wholesale Sales</t>
  </si>
  <si>
    <t xml:space="preserve">US-034</t>
  </si>
  <si>
    <t xml:space="preserve">Selected Services Revenue</t>
  </si>
  <si>
    <t xml:space="preserve">Census QSS</t>
  </si>
  <si>
    <t xml:space="preserve">API Census</t>
  </si>
  <si>
    <t xml:space="preserve">US-035</t>
  </si>
  <si>
    <t xml:space="preserve">Estoques</t>
  </si>
  <si>
    <t xml:space="preserve">Change in Private Inventories</t>
  </si>
  <si>
    <t xml:space="preserve">CBIC1</t>
  </si>
  <si>
    <t xml:space="preserve">US-036</t>
  </si>
  <si>
    <t xml:space="preserve">Manufacturers Inventories/Sales</t>
  </si>
  <si>
    <t xml:space="preserve">MNFCTRIRSA</t>
  </si>
  <si>
    <t xml:space="preserve">Proxy para excess inventory</t>
  </si>
  <si>
    <t xml:space="preserve">US-037</t>
  </si>
  <si>
    <t xml:space="preserve">Indústria</t>
  </si>
  <si>
    <t xml:space="preserve">Industrial Production</t>
  </si>
  <si>
    <t xml:space="preserve">FRED (Fed)</t>
  </si>
  <si>
    <t xml:space="preserve">INDPRO</t>
  </si>
  <si>
    <t xml:space="preserve">US-038</t>
  </si>
  <si>
    <t xml:space="preserve">PMI</t>
  </si>
  <si>
    <t xml:space="preserve">ISM Manufacturing e Services PMI</t>
  </si>
  <si>
    <t xml:space="preserve">ISM</t>
  </si>
  <si>
    <t xml:space="preserve">Licenciado; saiu do FRED</t>
  </si>
  <si>
    <t xml:space="preserve">US-039</t>
  </si>
  <si>
    <t xml:space="preserve">Pesquisas regionais do Fed (Philly, Empire, Dallas)</t>
  </si>
  <si>
    <t xml:space="preserve">GACDFSA e equivalentes</t>
  </si>
  <si>
    <t xml:space="preserve">Substituto gratuito do ISM</t>
  </si>
  <si>
    <t xml:space="preserve">US-040</t>
  </si>
  <si>
    <t xml:space="preserve">Fed Funds (efetivo e banda)</t>
  </si>
  <si>
    <t xml:space="preserve">DFF / DFEDTARU / DFEDTARL</t>
  </si>
  <si>
    <t xml:space="preserve">US-041</t>
  </si>
  <si>
    <t xml:space="preserve">Total Fed Assets</t>
  </si>
  <si>
    <t xml:space="preserve">WALCL</t>
  </si>
  <si>
    <t xml:space="preserve">US-042</t>
  </si>
  <si>
    <t xml:space="preserve">Comunicação</t>
  </si>
  <si>
    <t xml:space="preserve">Press releases e statements do FOMC</t>
  </si>
  <si>
    <t xml:space="preserve">Federal Reserve</t>
  </si>
  <si>
    <t xml:space="preserve">RSS</t>
  </si>
  <si>
    <t xml:space="preserve">Alimenta o agregador</t>
  </si>
  <si>
    <t xml:space="preserve">US-043</t>
  </si>
  <si>
    <t xml:space="preserve">Dotplot (mediana SEP)</t>
  </si>
  <si>
    <t xml:space="preserve">FEDTARMD (+ FEDTARRH/RL)</t>
  </si>
  <si>
    <t xml:space="preserve">Atualizado em 16/09/2026</t>
  </si>
  <si>
    <t xml:space="preserve">US-044</t>
  </si>
  <si>
    <t xml:space="preserve">Curva</t>
  </si>
  <si>
    <t xml:space="preserve">US Yield Curve (1m–30y) e spreads</t>
  </si>
  <si>
    <t xml:space="preserve">DGS1MO…DGS30 / T10Y2Y / T10Y3M</t>
  </si>
  <si>
    <t xml:space="preserve">US-045</t>
  </si>
  <si>
    <t xml:space="preserve">SOFR overnight</t>
  </si>
  <si>
    <t xml:space="preserve">SOFR</t>
  </si>
  <si>
    <t xml:space="preserve">US-046</t>
  </si>
  <si>
    <t xml:space="preserve">SOFR 10Y swap</t>
  </si>
  <si>
    <t xml:space="preserve">US-047</t>
  </si>
  <si>
    <t xml:space="preserve">Mercado</t>
  </si>
  <si>
    <t xml:space="preserve">WIRP / probabilidade implícita</t>
  </si>
  <si>
    <t xml:space="preserve">Bloomberg / CME FedWatch</t>
  </si>
  <si>
    <t xml:space="preserve">FedWatch só no site</t>
  </si>
  <si>
    <t xml:space="preserve">US-048</t>
  </si>
  <si>
    <t xml:space="preserve">Mortgage Rate 30y</t>
  </si>
  <si>
    <t xml:space="preserve">FRED (Freddie Mac)</t>
  </si>
  <si>
    <t xml:space="preserve">MORTGAGE30US</t>
  </si>
  <si>
    <t xml:space="preserve">US-049</t>
  </si>
  <si>
    <t xml:space="preserve">M1 e M2</t>
  </si>
  <si>
    <t xml:space="preserve">M1SL / M2SL</t>
  </si>
  <si>
    <t xml:space="preserve">US-050</t>
  </si>
  <si>
    <t xml:space="preserve">M3 e M4</t>
  </si>
  <si>
    <t xml:space="preserve">Center for Financial Stability (Divisia)</t>
  </si>
  <si>
    <t xml:space="preserve">Download</t>
  </si>
  <si>
    <t xml:space="preserve">Fed descontinuou o M3 em 2006</t>
  </si>
  <si>
    <t xml:space="preserve">US-051</t>
  </si>
  <si>
    <t xml:space="preserve">Chicago Fed NFCI</t>
  </si>
  <si>
    <t xml:space="preserve">NFCI</t>
  </si>
  <si>
    <t xml:space="preserve">US-052</t>
  </si>
  <si>
    <t xml:space="preserve">St. Louis Fed Financial Stress Index</t>
  </si>
  <si>
    <t xml:space="preserve">STLFSI4</t>
  </si>
  <si>
    <t xml:space="preserve">US-053</t>
  </si>
  <si>
    <t xml:space="preserve">SLOOS — net % tightening C&amp;I</t>
  </si>
  <si>
    <t xml:space="preserve">DRTSCILM</t>
  </si>
  <si>
    <t xml:space="preserve">US-054</t>
  </si>
  <si>
    <t xml:space="preserve">% da dívida federal detida pelo Fed</t>
  </si>
  <si>
    <t xml:space="preserve">FDHBFRBN / GFDEBTN</t>
  </si>
  <si>
    <t xml:space="preserve">US-055</t>
  </si>
  <si>
    <t xml:space="preserve">Preços</t>
  </si>
  <si>
    <t xml:space="preserve">Median Sales Price e Case-Shiller</t>
  </si>
  <si>
    <t xml:space="preserve">MSPUS / CSUSHPISA</t>
  </si>
  <si>
    <t xml:space="preserve">Mensal/Trim.</t>
  </si>
  <si>
    <t xml:space="preserve">US$ / Índice</t>
  </si>
  <si>
    <t xml:space="preserve">Case-Shiller adicionado</t>
  </si>
  <si>
    <t xml:space="preserve">US-056</t>
  </si>
  <si>
    <t xml:space="preserve">Oferta</t>
  </si>
  <si>
    <t xml:space="preserve">Months' Supply, Starts, Permits, Completions</t>
  </si>
  <si>
    <t xml:space="preserve">MSACSR / HOUST / PERMIT / COMPUTSA</t>
  </si>
  <si>
    <t xml:space="preserve">Mil / meses</t>
  </si>
  <si>
    <t xml:space="preserve">US-057</t>
  </si>
  <si>
    <t xml:space="preserve">Existing e Pending Home Sales</t>
  </si>
  <si>
    <t xml:space="preserve">NAR</t>
  </si>
  <si>
    <t xml:space="preserve">EXHOSLUSM495S (histórico curto)</t>
  </si>
  <si>
    <t xml:space="preserve">FRED exibe só os últimos meses por licença</t>
  </si>
  <si>
    <t xml:space="preserve">US-058</t>
  </si>
  <si>
    <t xml:space="preserve">Vacância</t>
  </si>
  <si>
    <t xml:space="preserve">Rental e Homeowner Vacancy</t>
  </si>
  <si>
    <t xml:space="preserve">RRVRUSQ156N / RHVRUSQ156N</t>
  </si>
  <si>
    <t xml:space="preserve">US-059</t>
  </si>
  <si>
    <t xml:space="preserve">Sentimento</t>
  </si>
  <si>
    <t xml:space="preserve">NAHB Housing Market Index</t>
  </si>
  <si>
    <t xml:space="preserve">NAHB</t>
  </si>
  <si>
    <t xml:space="preserve">US-060</t>
  </si>
  <si>
    <t xml:space="preserve">Acessibilidade</t>
  </si>
  <si>
    <t xml:space="preserve">Housing Affordability Index</t>
  </si>
  <si>
    <t xml:space="preserve">NAR / FRED</t>
  </si>
  <si>
    <t xml:space="preserve">FIXHAI (a confirmar)</t>
  </si>
  <si>
    <t xml:space="preserve">US-061</t>
  </si>
  <si>
    <t xml:space="preserve">Mortgage LTV</t>
  </si>
  <si>
    <t xml:space="preserve">FHFA / ICE</t>
  </si>
  <si>
    <t xml:space="preserve">US-062</t>
  </si>
  <si>
    <t xml:space="preserve">Michigan Consumer Sentiment</t>
  </si>
  <si>
    <t xml:space="preserve">UMCSENT</t>
  </si>
  <si>
    <t xml:space="preserve">Substitui Conference Board (pago)</t>
  </si>
  <si>
    <t xml:space="preserve">US-063</t>
  </si>
  <si>
    <t xml:space="preserve">Small Business Optimism (NFIB)</t>
  </si>
  <si>
    <t xml:space="preserve">Relatório (PDF)</t>
  </si>
  <si>
    <t xml:space="preserve">US-064</t>
  </si>
  <si>
    <t xml:space="preserve">Household Net Worth</t>
  </si>
  <si>
    <t xml:space="preserve">FRED (Z.1)</t>
  </si>
  <si>
    <t xml:space="preserve">TNWBSHNO (a confirmar)</t>
  </si>
  <si>
    <t xml:space="preserve">US-065</t>
  </si>
  <si>
    <t xml:space="preserve">Personal Saving Rate e Real Disposable Income</t>
  </si>
  <si>
    <t xml:space="preserve">PSAVERT / DSPIC96</t>
  </si>
  <si>
    <t xml:space="preserve">% / US$ bi</t>
  </si>
  <si>
    <t xml:space="preserve">US-066</t>
  </si>
  <si>
    <t xml:space="preserve">Liabilities/Assets</t>
  </si>
  <si>
    <t xml:space="preserve">Z.1 passivos / ativos</t>
  </si>
  <si>
    <t xml:space="preserve">US-067</t>
  </si>
  <si>
    <t xml:space="preserve">Debt Service % DPI</t>
  </si>
  <si>
    <t xml:space="preserve">TDSP</t>
  </si>
  <si>
    <t xml:space="preserve">US-068</t>
  </si>
  <si>
    <t xml:space="preserve">Desigualdade</t>
  </si>
  <si>
    <t xml:space="preserve">Assets by Wealth Percentile</t>
  </si>
  <si>
    <t xml:space="preserve">Fed DFA</t>
  </si>
  <si>
    <t xml:space="preserve">Download CSV / FRED (séries DFA)</t>
  </si>
  <si>
    <t xml:space="preserve">US-069</t>
  </si>
  <si>
    <t xml:space="preserve">Credit Card / Revolving Credit</t>
  </si>
  <si>
    <t xml:space="preserve">FRED (G.19)</t>
  </si>
  <si>
    <t xml:space="preserve">REVOLSL</t>
  </si>
  <si>
    <t xml:space="preserve">US-070</t>
  </si>
  <si>
    <t xml:space="preserve">Expected application rate (cartão)</t>
  </si>
  <si>
    <t xml:space="preserve">NY Fed SCE</t>
  </si>
  <si>
    <t xml:space="preserve">Quadrimestral</t>
  </si>
  <si>
    <t xml:space="preserve">US-071</t>
  </si>
  <si>
    <t xml:space="preserve">Delinquencies (all loans e cartões)</t>
  </si>
  <si>
    <t xml:space="preserve">DRALACBS / DRCCLACBS</t>
  </si>
  <si>
    <t xml:space="preserve">US-072</t>
  </si>
  <si>
    <t xml:space="preserve">Lucros</t>
  </si>
  <si>
    <t xml:space="preserve">Corporate Profits</t>
  </si>
  <si>
    <t xml:space="preserve">CP</t>
  </si>
  <si>
    <t xml:space="preserve">US-073</t>
  </si>
  <si>
    <t xml:space="preserve">Corporate Profits × S&amp;P 500</t>
  </si>
  <si>
    <t xml:space="preserve">Argus + FMP</t>
  </si>
  <si>
    <t xml:space="preserve">CP × ^GSPC</t>
  </si>
  <si>
    <t xml:space="preserve">S&amp;P 500 no FRED tem só 10 anos</t>
  </si>
  <si>
    <t xml:space="preserve">US-074</t>
  </si>
  <si>
    <t xml:space="preserve">EPS estimates S&amp;P 500</t>
  </si>
  <si>
    <t xml:space="preserve">S&amp;P DJI / FactSet</t>
  </si>
  <si>
    <t xml:space="preserve">xlsx S&amp;P (manual)</t>
  </si>
  <si>
    <t xml:space="preserve">US-075</t>
  </si>
  <si>
    <t xml:space="preserve">Valuation</t>
  </si>
  <si>
    <t xml:space="preserve">Market Cap to GDP (Buffett)</t>
  </si>
  <si>
    <t xml:space="preserve">NCBEILQ027S / GDP</t>
  </si>
  <si>
    <t xml:space="preserve">US-076</t>
  </si>
  <si>
    <t xml:space="preserve">Fixed Investment (privado não residencial)</t>
  </si>
  <si>
    <t xml:space="preserve">PNFIC1</t>
  </si>
  <si>
    <t xml:space="preserve">US-077</t>
  </si>
  <si>
    <t xml:space="preserve">Capex Plans (NFIB e Fed regionais)</t>
  </si>
  <si>
    <t xml:space="preserve">NFIB / Fed regionais</t>
  </si>
  <si>
    <t xml:space="preserve">PDF / FRED</t>
  </si>
  <si>
    <t xml:space="preserve">US-078</t>
  </si>
  <si>
    <t xml:space="preserve">Caixa</t>
  </si>
  <si>
    <t xml:space="preserve">Corporate cash on hand</t>
  </si>
  <si>
    <t xml:space="preserve">US-079</t>
  </si>
  <si>
    <t xml:space="preserve">Bankruptcy index</t>
  </si>
  <si>
    <t xml:space="preserve">Bloomberg / US Courts</t>
  </si>
  <si>
    <t xml:space="preserve">Nº</t>
  </si>
  <si>
    <t xml:space="preserve">US Courts publica estatística trimestral gratuita</t>
  </si>
  <si>
    <t xml:space="preserve">US-080</t>
  </si>
  <si>
    <t xml:space="preserve">Federal Debt % GDP</t>
  </si>
  <si>
    <t xml:space="preserve">GFDEGDQ188S</t>
  </si>
  <si>
    <t xml:space="preserve">US-081</t>
  </si>
  <si>
    <t xml:space="preserve">CBO deficit projections</t>
  </si>
  <si>
    <t xml:space="preserve">CBO</t>
  </si>
  <si>
    <t xml:space="preserve">xlsx (manual)</t>
  </si>
  <si>
    <t xml:space="preserve">Semestral</t>
  </si>
  <si>
    <t xml:space="preserve">US-082</t>
  </si>
  <si>
    <t xml:space="preserve">Deficit impact e spending revisions (Kinea)</t>
  </si>
  <si>
    <t xml:space="preserve">Kinea</t>
  </si>
  <si>
    <t xml:space="preserve">Eventual</t>
  </si>
  <si>
    <t xml:space="preserve">Fonte de terceiro; registrar data do relatório</t>
  </si>
  <si>
    <t xml:space="preserve">US-083</t>
  </si>
  <si>
    <t xml:space="preserve">Comércio</t>
  </si>
  <si>
    <t xml:space="preserve">Trade Balance</t>
  </si>
  <si>
    <t xml:space="preserve">BOPGSTB</t>
  </si>
  <si>
    <t xml:space="preserve">US-084</t>
  </si>
  <si>
    <t xml:space="preserve">Current Account % GDP</t>
  </si>
  <si>
    <t xml:space="preserve">IEABC / GDP</t>
  </si>
  <si>
    <t xml:space="preserve">US-085</t>
  </si>
  <si>
    <t xml:space="preserve">Imports — automotive (end-use)</t>
  </si>
  <si>
    <t xml:space="preserve">Census API</t>
  </si>
  <si>
    <t xml:space="preserve">FT-900 end-use</t>
  </si>
  <si>
    <t xml:space="preserve">US-086</t>
  </si>
  <si>
    <t xml:space="preserve">Effective tariff rate</t>
  </si>
  <si>
    <t xml:space="preserve">B235RC1Q027SBEA / IMPGS</t>
  </si>
  <si>
    <t xml:space="preserve">Customs duties / importações</t>
  </si>
  <si>
    <t xml:space="preserve">US-087</t>
  </si>
  <si>
    <t xml:space="preserve">Energia</t>
  </si>
  <si>
    <t xml:space="preserve">Strategic Petroleum Reserve</t>
  </si>
  <si>
    <t xml:space="preserve">FRED (EIA)</t>
  </si>
  <si>
    <t xml:space="preserve">WCSSTUS1 (a confirmar)</t>
  </si>
  <si>
    <t xml:space="preserve">Mil barris</t>
  </si>
  <si>
    <t xml:space="preserve">US-088</t>
  </si>
  <si>
    <t xml:space="preserve">DXY</t>
  </si>
  <si>
    <t xml:space="preserve">ICE</t>
  </si>
  <si>
    <t xml:space="preserve">Usar DTWEXBGS (broad dollar, FRED)</t>
  </si>
  <si>
    <t xml:space="preserve">US-089</t>
  </si>
  <si>
    <t xml:space="preserve">Broad Dollar Index</t>
  </si>
  <si>
    <t xml:space="preserve">DTWEXBGS</t>
  </si>
  <si>
    <t xml:space="preserve">Substituto do DXY</t>
  </si>
  <si>
    <t xml:space="preserve">US-090</t>
  </si>
  <si>
    <t xml:space="preserve">Vol</t>
  </si>
  <si>
    <t xml:space="preserve">VIX</t>
  </si>
  <si>
    <t xml:space="preserve">FRED (CBOE)</t>
  </si>
  <si>
    <t xml:space="preserve">VIXCLS</t>
  </si>
  <si>
    <t xml:space="preserve">US-091</t>
  </si>
  <si>
    <t xml:space="preserve">MOVE Index</t>
  </si>
  <si>
    <t xml:space="preserve">US-092</t>
  </si>
  <si>
    <t xml:space="preserve">ICE BofA High Yield OAS</t>
  </si>
  <si>
    <t xml:space="preserve">BAMLH0A0HYM2</t>
  </si>
  <si>
    <t xml:space="preserve">Conferir profundidade do histórico disponível</t>
  </si>
  <si>
    <t xml:space="preserve">US-093</t>
  </si>
  <si>
    <t xml:space="preserve">Equity Risk Premium</t>
  </si>
  <si>
    <t xml:space="preserve">Argus / Damodaran</t>
  </si>
  <si>
    <t xml:space="preserve">Earnings yield − DFII10</t>
  </si>
  <si>
    <t xml:space="preserve">US-094</t>
  </si>
  <si>
    <t xml:space="preserve">Implied Default (a partir do HY spread)</t>
  </si>
  <si>
    <t xml:space="preserve">f(BAMLH0A0HYM2, recovery)</t>
  </si>
  <si>
    <t xml:space="preserve">US-095</t>
  </si>
  <si>
    <t xml:space="preserve">Recessão</t>
  </si>
  <si>
    <t xml:space="preserve">Recession probability (Piger)</t>
  </si>
  <si>
    <t xml:space="preserve">RECPROUSM156N</t>
  </si>
  <si>
    <t xml:space="preserve">US-096</t>
  </si>
  <si>
    <t xml:space="preserve">Russell 2000</t>
  </si>
  <si>
    <t xml:space="preserve">FMP</t>
  </si>
  <si>
    <t xml:space="preserve">^RUT / IWM</t>
  </si>
  <si>
    <t xml:space="preserve">Não está no FRED</t>
  </si>
  <si>
    <t xml:space="preserve">Aba Central — Command Center e notícias</t>
  </si>
  <si>
    <t xml:space="preserve">O que aparece na primeira tela e de onde vem.</t>
  </si>
  <si>
    <t xml:space="preserve">Componente</t>
  </si>
  <si>
    <t xml:space="preserve">Conteúdo</t>
  </si>
  <si>
    <t xml:space="preserve">Faixa de mercado</t>
  </si>
  <si>
    <t xml:space="preserve">Ticker no topo</t>
  </si>
  <si>
    <t xml:space="preserve">Ibovespa, USD/BRL, S&amp;P 500, UST 10Y, Broad Dollar, Brent, ouro, VIX</t>
  </si>
  <si>
    <t xml:space="preserve">FMP + FRED + BCB SGS</t>
  </si>
  <si>
    <t xml:space="preserve">Atualização diária; intraday só com plano pago</t>
  </si>
  <si>
    <t xml:space="preserve">Regime</t>
  </si>
  <si>
    <t xml:space="preserve">Cartões Brasil</t>
  </si>
  <si>
    <t xml:space="preserve">Selic × neutro implícito, IPCA 12m × meta, desocupação, Focus IPCA/Selic</t>
  </si>
  <si>
    <t xml:space="preserve">Abas Brasil (derivados)</t>
  </si>
  <si>
    <t xml:space="preserve">Cada cartão leva à aba de origem</t>
  </si>
  <si>
    <t xml:space="preserve">Cartões EUA</t>
  </si>
  <si>
    <t xml:space="preserve">Fed funds, Core PCE, desemprego, curva 10y-2y, GDPNow</t>
  </si>
  <si>
    <t xml:space="preserve">Aba EUA</t>
  </si>
  <si>
    <t xml:space="preserve">Agenda</t>
  </si>
  <si>
    <t xml:space="preserve">Próximos 7 dias</t>
  </si>
  <si>
    <t xml:space="preserve">Divulgações do IBGE, BCB, BLS/BEA; reuniões de Copom e FOMC</t>
  </si>
  <si>
    <t xml:space="preserve">IBGE API de calendário + FRED releases + curado</t>
  </si>
  <si>
    <t xml:space="preserve">Calendário de Copom/FOMC curado manualmente</t>
  </si>
  <si>
    <t xml:space="preserve">Última divulgação</t>
  </si>
  <si>
    <t xml:space="preserve">O que saiu</t>
  </si>
  <si>
    <t xml:space="preserve">Último dado × anterior × Focus (quando houver)</t>
  </si>
  <si>
    <t xml:space="preserve">Consenso para os EUA não tem fonte gratuita</t>
  </si>
  <si>
    <t xml:space="preserve">Notícias</t>
  </si>
  <si>
    <t xml:space="preserve">Feed oficial</t>
  </si>
  <si>
    <t xml:space="preserve">Comunicados e notas de BCB, Fed, Tesouro, IBGE (Agência de Notícias)</t>
  </si>
  <si>
    <t xml:space="preserve">RSS oficiais</t>
  </si>
  <si>
    <t xml:space="preserve">Fonte primária, zero risco jurídico</t>
  </si>
  <si>
    <t xml:space="preserve">Feed de imprensa</t>
  </si>
  <si>
    <t xml:space="preserve">Manchetes de veículos selecionados (título + link)</t>
  </si>
  <si>
    <t xml:space="preserve">RSS de veículos + Google News RSS por consulta</t>
  </si>
  <si>
    <t xml:space="preserve">Só título, fonte e link; marcação por país/tema via palavra-chave</t>
  </si>
  <si>
    <t xml:space="preserve">Eventos globais</t>
  </si>
  <si>
    <t xml:space="preserve">Volume de notícias por país/tema (geopolítica)</t>
  </si>
  <si>
    <t xml:space="preserve">GDELT DOC API</t>
  </si>
  <si>
    <t xml:space="preserve">Resumo do dia</t>
  </si>
  <si>
    <t xml:space="preserve">Síntese automática das notícias por tema</t>
  </si>
  <si>
    <t xml:space="preserve">Claude API (modelo leve)</t>
  </si>
  <si>
    <t xml:space="preserve">Custo de API: alguns US$/mês</t>
  </si>
  <si>
    <t xml:space="preserve">Monitor</t>
  </si>
  <si>
    <t xml:space="preserve">Saúde dos dados</t>
  </si>
  <si>
    <t xml:space="preserve">Fontes com falha ou atrasadas</t>
  </si>
  <si>
    <t xml:space="preserve">Tabela ingestion_runs</t>
  </si>
  <si>
    <t xml:space="preserve">Teses</t>
  </si>
  <si>
    <t xml:space="preserve">Teses ativas e gatilhos próximos de disparar</t>
  </si>
  <si>
    <t xml:space="preserve">Aba Teses</t>
  </si>
  <si>
    <t xml:space="preserve">Alertas</t>
  </si>
  <si>
    <t xml:space="preserve">Alertas disparados nas últimas 24h</t>
  </si>
  <si>
    <t xml:space="preserve">Motor de alertas</t>
  </si>
  <si>
    <t xml:space="preserve">Registro de fontes</t>
  </si>
  <si>
    <t xml:space="preserve">Cada fonte vira um adapter isolado no pipeline.</t>
  </si>
  <si>
    <t xml:space="preserve">Acesso</t>
  </si>
  <si>
    <t xml:space="preserve">Autenticação</t>
  </si>
  <si>
    <t xml:space="preserve">Limite / observação</t>
  </si>
  <si>
    <t xml:space="preserve">Risco técnico</t>
  </si>
  <si>
    <t xml:space="preserve">Custo</t>
  </si>
  <si>
    <t xml:space="preserve">REST JSON/CSV (api.bcb.gov.br)</t>
  </si>
  <si>
    <t xml:space="preserve">Nenhuma</t>
  </si>
  <si>
    <t xml:space="preserve">Séries diárias: máx. 10 anos por consulta (fatiar janela)</t>
  </si>
  <si>
    <t xml:space="preserve">Médio</t>
  </si>
  <si>
    <t xml:space="preserve">Grátis</t>
  </si>
  <si>
    <t xml:space="preserve">BCB Olinda — Focus</t>
  </si>
  <si>
    <t xml:space="preserve">OData REST</t>
  </si>
  <si>
    <t xml:space="preserve">Filtros OData obrigatórios para volume grande</t>
  </si>
  <si>
    <t xml:space="preserve">BCB Portal de Dados Abertos</t>
  </si>
  <si>
    <t xml:space="preserve">Site / CKAN</t>
  </si>
  <si>
    <t xml:space="preserve">Limita requisições em rajada (429 observado)</t>
  </si>
  <si>
    <t xml:space="preserve">REST (apisidra.ibge.gov.br)</t>
  </si>
  <si>
    <t xml:space="preserve">Sintaxe verbosa; tabelas mudam de número em revisões de base</t>
  </si>
  <si>
    <t xml:space="preserve">IBGE API de calendário</t>
  </si>
  <si>
    <t xml:space="preserve">REST (servicodados.ibge.gov.br)</t>
  </si>
  <si>
    <t xml:space="preserve">Agenda de divulgações</t>
  </si>
  <si>
    <t xml:space="preserve">Baixo</t>
  </si>
  <si>
    <t xml:space="preserve">REST</t>
  </si>
  <si>
    <t xml:space="preserve">Consultas por NCM, país, período</t>
  </si>
  <si>
    <t xml:space="preserve">CKAN / CSV / xlsx</t>
  </si>
  <si>
    <t xml:space="preserve">RTN e RMD em planilhas com layout mutável</t>
  </si>
  <si>
    <t xml:space="preserve">Agrega séries de terceiros; conferir atualização</t>
  </si>
  <si>
    <t xml:space="preserve">Câmara / Senado Dados Abertos</t>
  </si>
  <si>
    <t xml:space="preserve">Arquivos grandes por eleição</t>
  </si>
  <si>
    <t xml:space="preserve">ANBIMA / B3</t>
  </si>
  <si>
    <t xml:space="preserve">Arquivos diários no site</t>
  </si>
  <si>
    <t xml:space="preserve">Nenhuma (API ANBIMA é paga)</t>
  </si>
  <si>
    <t xml:space="preserve">Formatos mudam sem aviso</t>
  </si>
  <si>
    <t xml:space="preserve">Alto</t>
  </si>
  <si>
    <t xml:space="preserve">Grátis / pago</t>
  </si>
  <si>
    <t xml:space="preserve">FRED / ALFRED</t>
  </si>
  <si>
    <t xml:space="preserve">Chave grátis</t>
  </si>
  <si>
    <t xml:space="preserve">120 req/min; vintages via ALFRED</t>
  </si>
  <si>
    <t xml:space="preserve">BEA / Census / BLS</t>
  </si>
  <si>
    <t xml:space="preserve">BLS: limite diário por chave</t>
  </si>
  <si>
    <t xml:space="preserve">Financial Modeling Prep</t>
  </si>
  <si>
    <t xml:space="preserve">Chave</t>
  </si>
  <si>
    <t xml:space="preserve">Grátis 250 chamadas/dia; Starter US$ 22/mês</t>
  </si>
  <si>
    <t xml:space="preserve">GDELT</t>
  </si>
  <si>
    <t xml:space="preserve">Volume alto; filtrar por tema/país</t>
  </si>
  <si>
    <t xml:space="preserve">RSS (BCB, Fed, IBGE, imprensa)</t>
  </si>
  <si>
    <t xml:space="preserve">RSS/Atom</t>
  </si>
  <si>
    <t xml:space="preserve">Exibir só título + link de veículos de imprensa</t>
  </si>
  <si>
    <t xml:space="preserve">Claude API</t>
  </si>
  <si>
    <t xml:space="preserve">Para resumo de notícias e análise de texto (v2+)</t>
  </si>
  <si>
    <t xml:space="preserve">Pago por uso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</si>
</sst>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1F3A"/>
      <name val="Arial"/>
      <family val="0"/>
      <charset val="1"/>
    </font>
    <font>
      <i val="true"/>
      <sz val="10"/>
      <color rgb="FF5A6B82"/>
      <name val="Arial"/>
      <family val="0"/>
      <charset val="1"/>
    </font>
    <font>
      <b val="true"/>
      <sz val="11"/>
      <color rgb="FF0B1F3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0B1F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A6B82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C9A227"/>
        <bgColor rgb="FF99CC00"/>
      </patternFill>
    </fill>
    <fill>
      <patternFill patternType="solid">
        <fgColor rgb="FFD8EFDF"/>
        <bgColor rgb="FFDCE8F7"/>
      </patternFill>
    </fill>
    <fill>
      <patternFill patternType="solid">
        <fgColor rgb="FFFFF4D1"/>
        <bgColor rgb="FFFDE2CF"/>
      </patternFill>
    </fill>
    <fill>
      <patternFill patternType="solid">
        <fgColor rgb="FFFDE2CF"/>
        <bgColor rgb="FFF8D7DA"/>
      </patternFill>
    </fill>
    <fill>
      <patternFill patternType="solid">
        <fgColor rgb="FFECE6F5"/>
        <bgColor rgb="FFEEEEEE"/>
      </patternFill>
    </fill>
    <fill>
      <patternFill patternType="solid">
        <fgColor rgb="FFF8D7DA"/>
        <bgColor rgb="FFFDE2CF"/>
      </patternFill>
    </fill>
    <fill>
      <patternFill patternType="solid">
        <fgColor rgb="FFDCE8F7"/>
        <bgColor rgb="FFECE6F5"/>
      </patternFill>
    </fill>
    <fill>
      <patternFill patternType="solid">
        <fgColor rgb="FFEEEEEE"/>
        <bgColor rgb="FFECE6F5"/>
      </patternFill>
    </fill>
    <fill>
      <patternFill patternType="solid">
        <fgColor rgb="FF0B1F3A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B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0B1F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A6B8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8EFDF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CE6F5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E2CF"/>
          <bgColor rgb="FF000000"/>
        </patternFill>
      </fill>
    </dxf>
    <dxf>
      <fill>
        <patternFill patternType="solid">
          <fgColor rgb="FFFFF4D1"/>
          <bgColor rgb="FF000000"/>
        </patternFill>
      </fill>
    </dxf>
    <dxf>
      <fill>
        <patternFill>
          <bgColor rgb="FFD8EFDF"/>
        </patternFill>
      </fill>
    </dxf>
    <dxf>
      <fill>
        <patternFill>
          <bgColor rgb="FFFFF4D1"/>
        </patternFill>
      </fill>
    </dxf>
    <dxf>
      <fill>
        <patternFill>
          <bgColor rgb="FFFDE2CF"/>
        </patternFill>
      </fill>
    </dxf>
    <dxf>
      <fill>
        <patternFill>
          <bgColor rgb="FFECE6F5"/>
        </patternFill>
      </fill>
    </dxf>
    <dxf>
      <fill>
        <patternFill>
          <bgColor rgb="FFF8D7DA"/>
        </patternFill>
      </fill>
    </dxf>
    <dxf>
      <fill>
        <patternFill>
          <bgColor rgb="FFDCE8F7"/>
        </patternFill>
      </fill>
    </dxf>
    <dxf>
      <fill>
        <patternFill>
          <bgColor rgb="FFEEEEEE"/>
        </patternFill>
      </fill>
    </dxf>
    <dxf>
      <font>
        <name val="Arial"/>
        <charset val="1"/>
        <family val="0"/>
        <b val="1"/>
        <color rgb="FF0B1F3A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CE6F5"/>
      <rgbColor rgb="FF808080"/>
      <rgbColor rgb="FF9999FF"/>
      <rgbColor rgb="FF993366"/>
      <rgbColor rgb="FFFFF4D1"/>
      <rgbColor rgb="FFDCE8F7"/>
      <rgbColor rgb="FF660066"/>
      <rgbColor rgb="FFFF8080"/>
      <rgbColor rgb="FF0066CC"/>
      <rgbColor rgb="FFD5DB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8EFDF"/>
      <rgbColor rgb="FFFDE2CF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C9A227"/>
      <rgbColor rgb="FFFF6600"/>
      <rgbColor rgb="FF5A6B82"/>
      <rgbColor rgb="FF969696"/>
      <rgbColor rgb="FF0B1F3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3" hidden="false" customHeight="true" outlineLevel="0" collapsed="false">
      <c r="A3" s="3"/>
      <c r="B3" s="3"/>
      <c r="C3" s="3"/>
    </row>
    <row r="5" customFormat="false" ht="15" hidden="false" customHeight="false" outlineLevel="0" collapsed="false">
      <c r="A5" s="4" t="s">
        <v>2</v>
      </c>
      <c r="B5" s="5"/>
    </row>
    <row r="6" customFormat="false" ht="15" hidden="false" customHeight="false" outlineLevel="0" collapsed="false">
      <c r="A6" s="6" t="s">
        <v>3</v>
      </c>
      <c r="B6" s="5" t="s">
        <v>4</v>
      </c>
    </row>
    <row r="7" customFormat="false" ht="15" hidden="false" customHeight="false" outlineLevel="0" collapsed="false">
      <c r="A7" s="6" t="s">
        <v>5</v>
      </c>
      <c r="B7" s="5" t="s">
        <v>6</v>
      </c>
    </row>
    <row r="8" customFormat="false" ht="15" hidden="false" customHeight="false" outlineLevel="0" collapsed="false">
      <c r="A8" s="6" t="s">
        <v>7</v>
      </c>
      <c r="B8" s="5" t="s">
        <v>8</v>
      </c>
    </row>
    <row r="9" customFormat="false" ht="15" hidden="false" customHeight="false" outlineLevel="0" collapsed="false">
      <c r="A9" s="6" t="s">
        <v>9</v>
      </c>
      <c r="B9" s="5" t="s">
        <v>10</v>
      </c>
    </row>
    <row r="10" customFormat="false" ht="15" hidden="false" customHeight="false" outlineLevel="0" collapsed="false">
      <c r="A10" s="6"/>
      <c r="B10" s="5"/>
    </row>
    <row r="11" customFormat="false" ht="15" hidden="false" customHeight="false" outlineLevel="0" collapsed="false">
      <c r="A11" s="4" t="s">
        <v>11</v>
      </c>
      <c r="B11" s="5"/>
    </row>
    <row r="12" customFormat="false" ht="15" hidden="false" customHeight="false" outlineLevel="0" collapsed="false">
      <c r="A12" s="7" t="s">
        <v>12</v>
      </c>
      <c r="B12" s="5" t="s">
        <v>13</v>
      </c>
    </row>
    <row r="13" customFormat="false" ht="15" hidden="false" customHeight="false" outlineLevel="0" collapsed="false">
      <c r="A13" s="8" t="s">
        <v>14</v>
      </c>
      <c r="B13" s="5" t="s">
        <v>15</v>
      </c>
    </row>
    <row r="14" customFormat="false" ht="15" hidden="false" customHeight="false" outlineLevel="0" collapsed="false">
      <c r="A14" s="9" t="s">
        <v>16</v>
      </c>
      <c r="B14" s="5" t="s">
        <v>17</v>
      </c>
    </row>
    <row r="15" customFormat="false" ht="15" hidden="false" customHeight="false" outlineLevel="0" collapsed="false">
      <c r="A15" s="10" t="s">
        <v>18</v>
      </c>
      <c r="B15" s="5" t="s">
        <v>19</v>
      </c>
    </row>
    <row r="16" customFormat="false" ht="15" hidden="false" customHeight="false" outlineLevel="0" collapsed="false">
      <c r="A16" s="11" t="s">
        <v>20</v>
      </c>
      <c r="B16" s="5" t="s">
        <v>21</v>
      </c>
    </row>
    <row r="17" customFormat="false" ht="15" hidden="false" customHeight="false" outlineLevel="0" collapsed="false">
      <c r="A17" s="12" t="s">
        <v>22</v>
      </c>
      <c r="B17" s="5" t="s">
        <v>23</v>
      </c>
    </row>
    <row r="18" customFormat="false" ht="15" hidden="false" customHeight="false" outlineLevel="0" collapsed="false">
      <c r="A18" s="13" t="s">
        <v>24</v>
      </c>
      <c r="B18" s="5" t="s">
        <v>25</v>
      </c>
    </row>
    <row r="19" customFormat="false" ht="15" hidden="false" customHeight="false" outlineLevel="0" collapsed="false">
      <c r="A19" s="6"/>
      <c r="B19" s="5"/>
    </row>
    <row r="20" customFormat="false" ht="15" hidden="false" customHeight="false" outlineLevel="0" collapsed="false">
      <c r="A20" s="4" t="s">
        <v>26</v>
      </c>
      <c r="B20" s="5"/>
    </row>
    <row r="21" customFormat="false" ht="15" hidden="false" customHeight="false" outlineLevel="0" collapsed="false">
      <c r="A21" s="6" t="s">
        <v>27</v>
      </c>
      <c r="B21" s="5" t="s">
        <v>28</v>
      </c>
    </row>
    <row r="22" customFormat="false" ht="15" hidden="false" customHeight="false" outlineLevel="0" collapsed="false">
      <c r="A22" s="6" t="s">
        <v>29</v>
      </c>
      <c r="B22" s="5" t="s">
        <v>30</v>
      </c>
    </row>
    <row r="23" customFormat="false" ht="15" hidden="false" customHeight="false" outlineLevel="0" collapsed="false">
      <c r="A23" s="6" t="s">
        <v>31</v>
      </c>
      <c r="B23" s="5" t="s">
        <v>32</v>
      </c>
    </row>
    <row r="24" customFormat="false" ht="15" hidden="false" customHeight="false" outlineLevel="0" collapsed="false">
      <c r="A24" s="6" t="s">
        <v>33</v>
      </c>
      <c r="B24" s="5" t="s">
        <v>34</v>
      </c>
    </row>
    <row r="25" customFormat="false" ht="15" hidden="false" customHeight="false" outlineLevel="0" collapsed="false">
      <c r="A25" s="6"/>
      <c r="B25" s="5"/>
    </row>
    <row r="26" customFormat="false" ht="23.85" hidden="false" customHeight="false" outlineLevel="0" collapsed="false">
      <c r="A26" s="6" t="s">
        <v>35</v>
      </c>
      <c r="B26" s="5" t="s">
        <v>36</v>
      </c>
    </row>
    <row r="27" customFormat="false" ht="15" hidden="false" customHeight="false" outlineLevel="0" collapsed="false">
      <c r="A27" s="6" t="s">
        <v>37</v>
      </c>
      <c r="B27" s="5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9"/>
    <col collapsed="false" customWidth="true" hidden="false" outlineLevel="0" max="7" min="7" style="0" width="4"/>
    <col collapsed="false" customWidth="true" hidden="false" outlineLevel="0" max="8" min="8" style="0" width="14"/>
    <col collapsed="false" customWidth="true" hidden="false" outlineLevel="0" max="9" min="9" style="0" width="8"/>
  </cols>
  <sheetData>
    <row r="1" customFormat="false" ht="25.5" hidden="false" customHeight="tru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</row>
    <row r="5" customFormat="false" ht="15" hidden="false" customHeight="false" outlineLevel="0" collapsed="false">
      <c r="A5" s="14" t="s">
        <v>41</v>
      </c>
    </row>
    <row r="6" customFormat="false" ht="15" hidden="false" customHeight="false" outlineLevel="0" collapsed="false">
      <c r="A6" s="15" t="s">
        <v>42</v>
      </c>
      <c r="B6" s="15" t="s">
        <v>27</v>
      </c>
      <c r="C6" s="15" t="s">
        <v>29</v>
      </c>
      <c r="D6" s="15" t="s">
        <v>31</v>
      </c>
      <c r="E6" s="15" t="s">
        <v>33</v>
      </c>
      <c r="F6" s="15" t="s">
        <v>43</v>
      </c>
      <c r="H6" s="15" t="s">
        <v>11</v>
      </c>
      <c r="I6" s="15" t="s">
        <v>44</v>
      </c>
    </row>
    <row r="7" customFormat="false" ht="15" hidden="false" customHeight="false" outlineLevel="0" collapsed="false">
      <c r="A7" s="16" t="s">
        <v>45</v>
      </c>
      <c r="B7" s="16" t="n">
        <f aca="false">COUNTIFS(Brasil!$B$6:$B$130,$A7,Brasil!$K$6:$K$130,"MVP")</f>
        <v>10</v>
      </c>
      <c r="C7" s="16" t="n">
        <f aca="false">COUNTIFS(Brasil!$B$6:$B$130,$A7,Brasil!$K$6:$K$130,"EUA")</f>
        <v>0</v>
      </c>
      <c r="D7" s="16" t="n">
        <f aca="false">COUNTIFS(Brasil!$B$6:$B$130,$A7,Brasil!$K$6:$K$130,"v2")</f>
        <v>4</v>
      </c>
      <c r="E7" s="16" t="n">
        <f aca="false">COUNTIFS(Brasil!$B$6:$B$130,$A7,Brasil!$K$6:$K$130,"v3")</f>
        <v>0</v>
      </c>
      <c r="F7" s="6" t="n">
        <f aca="false">SUM(B7:E7)</f>
        <v>14</v>
      </c>
      <c r="H7" s="17" t="s">
        <v>12</v>
      </c>
      <c r="I7" s="16" t="n">
        <f aca="false">COUNTIF(Brasil!$L$6:$L$130,H7)</f>
        <v>63</v>
      </c>
    </row>
    <row r="8" customFormat="false" ht="15" hidden="false" customHeight="false" outlineLevel="0" collapsed="false">
      <c r="A8" s="16" t="s">
        <v>46</v>
      </c>
      <c r="B8" s="16" t="n">
        <f aca="false">COUNTIFS(Brasil!$B$6:$B$130,$A8,Brasil!$K$6:$K$130,"MVP")</f>
        <v>7</v>
      </c>
      <c r="C8" s="16" t="n">
        <f aca="false">COUNTIFS(Brasil!$B$6:$B$130,$A8,Brasil!$K$6:$K$130,"EUA")</f>
        <v>0</v>
      </c>
      <c r="D8" s="16" t="n">
        <f aca="false">COUNTIFS(Brasil!$B$6:$B$130,$A8,Brasil!$K$6:$K$130,"v2")</f>
        <v>3</v>
      </c>
      <c r="E8" s="16" t="n">
        <f aca="false">COUNTIFS(Brasil!$B$6:$B$130,$A8,Brasil!$K$6:$K$130,"v3")</f>
        <v>0</v>
      </c>
      <c r="F8" s="6" t="n">
        <f aca="false">SUM(B8:E8)</f>
        <v>10</v>
      </c>
      <c r="H8" s="18" t="s">
        <v>14</v>
      </c>
      <c r="I8" s="16" t="n">
        <f aca="false">COUNTIF(Brasil!$L$6:$L$130,H8)</f>
        <v>26</v>
      </c>
    </row>
    <row r="9" customFormat="false" ht="15" hidden="false" customHeight="false" outlineLevel="0" collapsed="false">
      <c r="A9" s="16" t="s">
        <v>47</v>
      </c>
      <c r="B9" s="16" t="n">
        <f aca="false">COUNTIFS(Brasil!$B$6:$B$130,$A9,Brasil!$K$6:$K$130,"MVP")</f>
        <v>21</v>
      </c>
      <c r="C9" s="16" t="n">
        <f aca="false">COUNTIFS(Brasil!$B$6:$B$130,$A9,Brasil!$K$6:$K$130,"EUA")</f>
        <v>0</v>
      </c>
      <c r="D9" s="16" t="n">
        <f aca="false">COUNTIFS(Brasil!$B$6:$B$130,$A9,Brasil!$K$6:$K$130,"v2")</f>
        <v>4</v>
      </c>
      <c r="E9" s="16" t="n">
        <f aca="false">COUNTIFS(Brasil!$B$6:$B$130,$A9,Brasil!$K$6:$K$130,"v3")</f>
        <v>0</v>
      </c>
      <c r="F9" s="6" t="n">
        <f aca="false">SUM(B9:E9)</f>
        <v>25</v>
      </c>
      <c r="H9" s="19" t="s">
        <v>16</v>
      </c>
      <c r="I9" s="16" t="n">
        <f aca="false">COUNTIF(Brasil!$L$6:$L$130,H9)</f>
        <v>7</v>
      </c>
    </row>
    <row r="10" customFormat="false" ht="15" hidden="false" customHeight="false" outlineLevel="0" collapsed="false">
      <c r="A10" s="16" t="s">
        <v>48</v>
      </c>
      <c r="B10" s="16" t="n">
        <f aca="false">COUNTIFS(Brasil!$B$6:$B$130,$A10,Brasil!$K$6:$K$130,"MVP")</f>
        <v>15</v>
      </c>
      <c r="C10" s="16" t="n">
        <f aca="false">COUNTIFS(Brasil!$B$6:$B$130,$A10,Brasil!$K$6:$K$130,"EUA")</f>
        <v>0</v>
      </c>
      <c r="D10" s="16" t="n">
        <f aca="false">COUNTIFS(Brasil!$B$6:$B$130,$A10,Brasil!$K$6:$K$130,"v2")</f>
        <v>4</v>
      </c>
      <c r="E10" s="16" t="n">
        <f aca="false">COUNTIFS(Brasil!$B$6:$B$130,$A10,Brasil!$K$6:$K$130,"v3")</f>
        <v>0</v>
      </c>
      <c r="F10" s="6" t="n">
        <f aca="false">SUM(B10:E10)</f>
        <v>19</v>
      </c>
      <c r="H10" s="20" t="s">
        <v>18</v>
      </c>
      <c r="I10" s="16" t="n">
        <f aca="false">COUNTIF(Brasil!$L$6:$L$130,H10)</f>
        <v>9</v>
      </c>
    </row>
    <row r="11" customFormat="false" ht="15" hidden="false" customHeight="false" outlineLevel="0" collapsed="false">
      <c r="A11" s="16" t="s">
        <v>49</v>
      </c>
      <c r="B11" s="16" t="n">
        <f aca="false">COUNTIFS(Brasil!$B$6:$B$130,$A11,Brasil!$K$6:$K$130,"MVP")</f>
        <v>8</v>
      </c>
      <c r="C11" s="16" t="n">
        <f aca="false">COUNTIFS(Brasil!$B$6:$B$130,$A11,Brasil!$K$6:$K$130,"EUA")</f>
        <v>0</v>
      </c>
      <c r="D11" s="16" t="n">
        <f aca="false">COUNTIFS(Brasil!$B$6:$B$130,$A11,Brasil!$K$6:$K$130,"v2")</f>
        <v>2</v>
      </c>
      <c r="E11" s="16" t="n">
        <f aca="false">COUNTIFS(Brasil!$B$6:$B$130,$A11,Brasil!$K$6:$K$130,"v3")</f>
        <v>0</v>
      </c>
      <c r="F11" s="6" t="n">
        <f aca="false">SUM(B11:E11)</f>
        <v>10</v>
      </c>
      <c r="H11" s="21" t="s">
        <v>20</v>
      </c>
      <c r="I11" s="16" t="n">
        <f aca="false">COUNTIF(Brasil!$L$6:$L$130,H11)</f>
        <v>1</v>
      </c>
    </row>
    <row r="12" customFormat="false" ht="15" hidden="false" customHeight="false" outlineLevel="0" collapsed="false">
      <c r="A12" s="16" t="s">
        <v>50</v>
      </c>
      <c r="B12" s="16" t="n">
        <f aca="false">COUNTIFS(Brasil!$B$6:$B$130,$A12,Brasil!$K$6:$K$130,"MVP")</f>
        <v>10</v>
      </c>
      <c r="C12" s="16" t="n">
        <f aca="false">COUNTIFS(Brasil!$B$6:$B$130,$A12,Brasil!$K$6:$K$130,"EUA")</f>
        <v>0</v>
      </c>
      <c r="D12" s="16" t="n">
        <f aca="false">COUNTIFS(Brasil!$B$6:$B$130,$A12,Brasil!$K$6:$K$130,"v2")</f>
        <v>2</v>
      </c>
      <c r="E12" s="16" t="n">
        <f aca="false">COUNTIFS(Brasil!$B$6:$B$130,$A12,Brasil!$K$6:$K$130,"v3")</f>
        <v>0</v>
      </c>
      <c r="F12" s="6" t="n">
        <f aca="false">SUM(B12:E12)</f>
        <v>12</v>
      </c>
      <c r="H12" s="22" t="s">
        <v>22</v>
      </c>
      <c r="I12" s="16" t="n">
        <f aca="false">COUNTIF(Brasil!$L$6:$L$130,H12)</f>
        <v>13</v>
      </c>
    </row>
    <row r="13" customFormat="false" ht="15" hidden="false" customHeight="false" outlineLevel="0" collapsed="false">
      <c r="A13" s="16" t="s">
        <v>51</v>
      </c>
      <c r="B13" s="16" t="n">
        <f aca="false">COUNTIFS(Brasil!$B$6:$B$130,$A13,Brasil!$K$6:$K$130,"MVP")</f>
        <v>7</v>
      </c>
      <c r="C13" s="16" t="n">
        <f aca="false">COUNTIFS(Brasil!$B$6:$B$130,$A13,Brasil!$K$6:$K$130,"EUA")</f>
        <v>0</v>
      </c>
      <c r="D13" s="16" t="n">
        <f aca="false">COUNTIFS(Brasil!$B$6:$B$130,$A13,Brasil!$K$6:$K$130,"v2")</f>
        <v>2</v>
      </c>
      <c r="E13" s="16" t="n">
        <f aca="false">COUNTIFS(Brasil!$B$6:$B$130,$A13,Brasil!$K$6:$K$130,"v3")</f>
        <v>0</v>
      </c>
      <c r="F13" s="6" t="n">
        <f aca="false">SUM(B13:E13)</f>
        <v>9</v>
      </c>
      <c r="H13" s="23" t="s">
        <v>24</v>
      </c>
      <c r="I13" s="16" t="n">
        <f aca="false">COUNTIF(Brasil!$L$6:$L$130,H13)</f>
        <v>6</v>
      </c>
    </row>
    <row r="14" customFormat="false" ht="15" hidden="false" customHeight="false" outlineLevel="0" collapsed="false">
      <c r="A14" s="16" t="s">
        <v>52</v>
      </c>
      <c r="B14" s="16" t="n">
        <f aca="false">COUNTIFS(Brasil!$B$6:$B$130,$A14,Brasil!$K$6:$K$130,"MVP")</f>
        <v>1</v>
      </c>
      <c r="C14" s="16" t="n">
        <f aca="false">COUNTIFS(Brasil!$B$6:$B$130,$A14,Brasil!$K$6:$K$130,"EUA")</f>
        <v>0</v>
      </c>
      <c r="D14" s="16" t="n">
        <f aca="false">COUNTIFS(Brasil!$B$6:$B$130,$A14,Brasil!$K$6:$K$130,"v2")</f>
        <v>4</v>
      </c>
      <c r="E14" s="16" t="n">
        <f aca="false">COUNTIFS(Brasil!$B$6:$B$130,$A14,Brasil!$K$6:$K$130,"v3")</f>
        <v>1</v>
      </c>
      <c r="F14" s="6" t="n">
        <f aca="false">SUM(B14:E14)</f>
        <v>6</v>
      </c>
    </row>
    <row r="15" customFormat="false" ht="15" hidden="false" customHeight="false" outlineLevel="0" collapsed="false">
      <c r="A15" s="16" t="s">
        <v>53</v>
      </c>
      <c r="B15" s="16" t="n">
        <f aca="false">COUNTIFS(Brasil!$B$6:$B$130,$A15,Brasil!$K$6:$K$130,"MVP")</f>
        <v>1</v>
      </c>
      <c r="C15" s="16" t="n">
        <f aca="false">COUNTIFS(Brasil!$B$6:$B$130,$A15,Brasil!$K$6:$K$130,"EUA")</f>
        <v>0</v>
      </c>
      <c r="D15" s="16" t="n">
        <f aca="false">COUNTIFS(Brasil!$B$6:$B$130,$A15,Brasil!$K$6:$K$130,"v2")</f>
        <v>4</v>
      </c>
      <c r="E15" s="16" t="n">
        <f aca="false">COUNTIFS(Brasil!$B$6:$B$130,$A15,Brasil!$K$6:$K$130,"v3")</f>
        <v>1</v>
      </c>
      <c r="F15" s="6" t="n">
        <f aca="false">SUM(B15:E15)</f>
        <v>6</v>
      </c>
    </row>
    <row r="16" customFormat="false" ht="15" hidden="false" customHeight="false" outlineLevel="0" collapsed="false">
      <c r="A16" s="16" t="s">
        <v>54</v>
      </c>
      <c r="B16" s="16" t="n">
        <f aca="false">COUNTIFS(Brasil!$B$6:$B$130,$A16,Brasil!$K$6:$K$130,"MVP")</f>
        <v>0</v>
      </c>
      <c r="C16" s="16" t="n">
        <f aca="false">COUNTIFS(Brasil!$B$6:$B$130,$A16,Brasil!$K$6:$K$130,"EUA")</f>
        <v>0</v>
      </c>
      <c r="D16" s="16" t="n">
        <f aca="false">COUNTIFS(Brasil!$B$6:$B$130,$A16,Brasil!$K$6:$K$130,"v2")</f>
        <v>4</v>
      </c>
      <c r="E16" s="16" t="n">
        <f aca="false">COUNTIFS(Brasil!$B$6:$B$130,$A16,Brasil!$K$6:$K$130,"v3")</f>
        <v>0</v>
      </c>
      <c r="F16" s="6" t="n">
        <f aca="false">SUM(B16:E16)</f>
        <v>4</v>
      </c>
    </row>
    <row r="17" customFormat="false" ht="15" hidden="false" customHeight="false" outlineLevel="0" collapsed="false">
      <c r="A17" s="16" t="s">
        <v>55</v>
      </c>
      <c r="B17" s="16" t="n">
        <f aca="false">COUNTIFS(Brasil!$B$6:$B$130,$A17,Brasil!$K$6:$K$130,"MVP")</f>
        <v>3</v>
      </c>
      <c r="C17" s="16" t="n">
        <f aca="false">COUNTIFS(Brasil!$B$6:$B$130,$A17,Brasil!$K$6:$K$130,"EUA")</f>
        <v>0</v>
      </c>
      <c r="D17" s="16" t="n">
        <f aca="false">COUNTIFS(Brasil!$B$6:$B$130,$A17,Brasil!$K$6:$K$130,"v2")</f>
        <v>6</v>
      </c>
      <c r="E17" s="16" t="n">
        <f aca="false">COUNTIFS(Brasil!$B$6:$B$130,$A17,Brasil!$K$6:$K$130,"v3")</f>
        <v>1</v>
      </c>
      <c r="F17" s="6" t="n">
        <f aca="false">SUM(B17:E17)</f>
        <v>10</v>
      </c>
    </row>
    <row r="18" customFormat="false" ht="15" hidden="false" customHeight="false" outlineLevel="0" collapsed="false">
      <c r="A18" s="6" t="s">
        <v>43</v>
      </c>
      <c r="B18" s="6" t="n">
        <f aca="false">SUM(B7:B17)</f>
        <v>83</v>
      </c>
      <c r="C18" s="6" t="n">
        <f aca="false">SUM(C7:C17)</f>
        <v>0</v>
      </c>
      <c r="D18" s="6" t="n">
        <f aca="false">SUM(D7:D17)</f>
        <v>39</v>
      </c>
      <c r="E18" s="6" t="n">
        <f aca="false">SUM(E7:E17)</f>
        <v>3</v>
      </c>
      <c r="F18" s="6" t="n">
        <f aca="false">SUM(F7:F17)</f>
        <v>125</v>
      </c>
    </row>
    <row r="20" customFormat="false" ht="15" hidden="false" customHeight="false" outlineLevel="0" collapsed="false">
      <c r="A20" s="14" t="s">
        <v>29</v>
      </c>
    </row>
    <row r="21" customFormat="false" ht="15" hidden="false" customHeight="false" outlineLevel="0" collapsed="false">
      <c r="A21" s="15" t="s">
        <v>42</v>
      </c>
      <c r="B21" s="15" t="s">
        <v>27</v>
      </c>
      <c r="C21" s="15" t="s">
        <v>29</v>
      </c>
      <c r="D21" s="15" t="s">
        <v>31</v>
      </c>
      <c r="E21" s="15" t="s">
        <v>33</v>
      </c>
      <c r="F21" s="15" t="s">
        <v>43</v>
      </c>
      <c r="H21" s="15" t="s">
        <v>11</v>
      </c>
      <c r="I21" s="15" t="s">
        <v>44</v>
      </c>
    </row>
    <row r="22" customFormat="false" ht="15" hidden="false" customHeight="false" outlineLevel="0" collapsed="false">
      <c r="A22" s="16" t="s">
        <v>46</v>
      </c>
      <c r="B22" s="16" t="n">
        <f aca="false">COUNTIFS(EUA!$B$6:$B$101,$A22,EUA!$K$6:$K$101,"MVP")</f>
        <v>0</v>
      </c>
      <c r="C22" s="16" t="n">
        <f aca="false">COUNTIFS(EUA!$B$6:$B$101,$A22,EUA!$K$6:$K$101,"EUA")</f>
        <v>12</v>
      </c>
      <c r="D22" s="16" t="n">
        <f aca="false">COUNTIFS(EUA!$B$6:$B$101,$A22,EUA!$K$6:$K$101,"v2")</f>
        <v>3</v>
      </c>
      <c r="E22" s="16" t="n">
        <f aca="false">COUNTIFS(EUA!$B$6:$B$101,$A22,EUA!$K$6:$K$101,"v3")</f>
        <v>0</v>
      </c>
      <c r="F22" s="6" t="n">
        <f aca="false">SUM(B22:E22)</f>
        <v>15</v>
      </c>
      <c r="H22" s="17" t="s">
        <v>12</v>
      </c>
      <c r="I22" s="16" t="n">
        <f aca="false">COUNTIF(EUA!$L$6:$L$101,H22)</f>
        <v>4</v>
      </c>
    </row>
    <row r="23" customFormat="false" ht="15" hidden="false" customHeight="false" outlineLevel="0" collapsed="false">
      <c r="A23" s="16" t="s">
        <v>47</v>
      </c>
      <c r="B23" s="16" t="n">
        <f aca="false">COUNTIFS(EUA!$B$6:$B$101,$A23,EUA!$K$6:$K$101,"MVP")</f>
        <v>0</v>
      </c>
      <c r="C23" s="16" t="n">
        <f aca="false">COUNTIFS(EUA!$B$6:$B$101,$A23,EUA!$K$6:$K$101,"EUA")</f>
        <v>8</v>
      </c>
      <c r="D23" s="16" t="n">
        <f aca="false">COUNTIFS(EUA!$B$6:$B$101,$A23,EUA!$K$6:$K$101,"v2")</f>
        <v>3</v>
      </c>
      <c r="E23" s="16" t="n">
        <f aca="false">COUNTIFS(EUA!$B$6:$B$101,$A23,EUA!$K$6:$K$101,"v3")</f>
        <v>0</v>
      </c>
      <c r="F23" s="6" t="n">
        <f aca="false">SUM(B23:E23)</f>
        <v>11</v>
      </c>
      <c r="H23" s="18" t="s">
        <v>14</v>
      </c>
      <c r="I23" s="16" t="n">
        <f aca="false">COUNTIF(EUA!$L$6:$L$101,H23)</f>
        <v>56</v>
      </c>
    </row>
    <row r="24" customFormat="false" ht="15" hidden="false" customHeight="false" outlineLevel="0" collapsed="false">
      <c r="A24" s="16" t="s">
        <v>45</v>
      </c>
      <c r="B24" s="16" t="n">
        <f aca="false">COUNTIFS(EUA!$B$6:$B$101,$A24,EUA!$K$6:$K$101,"MVP")</f>
        <v>0</v>
      </c>
      <c r="C24" s="16" t="n">
        <f aca="false">COUNTIFS(EUA!$B$6:$B$101,$A24,EUA!$K$6:$K$101,"EUA")</f>
        <v>9</v>
      </c>
      <c r="D24" s="16" t="n">
        <f aca="false">COUNTIFS(EUA!$B$6:$B$101,$A24,EUA!$K$6:$K$101,"v2")</f>
        <v>4</v>
      </c>
      <c r="E24" s="16" t="n">
        <f aca="false">COUNTIFS(EUA!$B$6:$B$101,$A24,EUA!$K$6:$K$101,"v3")</f>
        <v>0</v>
      </c>
      <c r="F24" s="6" t="n">
        <f aca="false">SUM(B24:E24)</f>
        <v>13</v>
      </c>
      <c r="H24" s="19" t="s">
        <v>16</v>
      </c>
      <c r="I24" s="16" t="n">
        <f aca="false">COUNTIF(EUA!$L$6:$L$101,H24)</f>
        <v>2</v>
      </c>
    </row>
    <row r="25" customFormat="false" ht="15" hidden="false" customHeight="false" outlineLevel="0" collapsed="false">
      <c r="A25" s="16" t="s">
        <v>56</v>
      </c>
      <c r="B25" s="16" t="n">
        <f aca="false">COUNTIFS(EUA!$B$6:$B$101,$A25,EUA!$K$6:$K$101,"MVP")</f>
        <v>0</v>
      </c>
      <c r="C25" s="16" t="n">
        <f aca="false">COUNTIFS(EUA!$B$6:$B$101,$A25,EUA!$K$6:$K$101,"EUA")</f>
        <v>12</v>
      </c>
      <c r="D25" s="16" t="n">
        <f aca="false">COUNTIFS(EUA!$B$6:$B$101,$A25,EUA!$K$6:$K$101,"v2")</f>
        <v>3</v>
      </c>
      <c r="E25" s="16" t="n">
        <f aca="false">COUNTIFS(EUA!$B$6:$B$101,$A25,EUA!$K$6:$K$101,"v3")</f>
        <v>0</v>
      </c>
      <c r="F25" s="6" t="n">
        <f aca="false">SUM(B25:E25)</f>
        <v>15</v>
      </c>
      <c r="H25" s="20" t="s">
        <v>18</v>
      </c>
      <c r="I25" s="16" t="n">
        <f aca="false">COUNTIF(EUA!$L$6:$L$101,H25)</f>
        <v>12</v>
      </c>
    </row>
    <row r="26" customFormat="false" ht="15" hidden="false" customHeight="false" outlineLevel="0" collapsed="false">
      <c r="A26" s="16" t="s">
        <v>57</v>
      </c>
      <c r="B26" s="16" t="n">
        <f aca="false">COUNTIFS(EUA!$B$6:$B$101,$A26,EUA!$K$6:$K$101,"MVP")</f>
        <v>0</v>
      </c>
      <c r="C26" s="16" t="n">
        <f aca="false">COUNTIFS(EUA!$B$6:$B$101,$A26,EUA!$K$6:$K$101,"EUA")</f>
        <v>3</v>
      </c>
      <c r="D26" s="16" t="n">
        <f aca="false">COUNTIFS(EUA!$B$6:$B$101,$A26,EUA!$K$6:$K$101,"v2")</f>
        <v>4</v>
      </c>
      <c r="E26" s="16" t="n">
        <f aca="false">COUNTIFS(EUA!$B$6:$B$101,$A26,EUA!$K$6:$K$101,"v3")</f>
        <v>0</v>
      </c>
      <c r="F26" s="6" t="n">
        <f aca="false">SUM(B26:E26)</f>
        <v>7</v>
      </c>
      <c r="H26" s="21" t="s">
        <v>20</v>
      </c>
      <c r="I26" s="16" t="n">
        <f aca="false">COUNTIF(EUA!$L$6:$L$101,H26)</f>
        <v>10</v>
      </c>
    </row>
    <row r="27" customFormat="false" ht="15" hidden="false" customHeight="false" outlineLevel="0" collapsed="false">
      <c r="A27" s="16" t="s">
        <v>58</v>
      </c>
      <c r="B27" s="16" t="n">
        <f aca="false">COUNTIFS(EUA!$B$6:$B$101,$A27,EUA!$K$6:$K$101,"MVP")</f>
        <v>0</v>
      </c>
      <c r="C27" s="16" t="n">
        <f aca="false">COUNTIFS(EUA!$B$6:$B$101,$A27,EUA!$K$6:$K$101,"EUA")</f>
        <v>7</v>
      </c>
      <c r="D27" s="16" t="n">
        <f aca="false">COUNTIFS(EUA!$B$6:$B$101,$A27,EUA!$K$6:$K$101,"v2")</f>
        <v>3</v>
      </c>
      <c r="E27" s="16" t="n">
        <f aca="false">COUNTIFS(EUA!$B$6:$B$101,$A27,EUA!$K$6:$K$101,"v3")</f>
        <v>0</v>
      </c>
      <c r="F27" s="6" t="n">
        <f aca="false">SUM(B27:E27)</f>
        <v>10</v>
      </c>
      <c r="H27" s="22" t="s">
        <v>22</v>
      </c>
      <c r="I27" s="16" t="n">
        <f aca="false">COUNTIF(EUA!$L$6:$L$101,H27)</f>
        <v>12</v>
      </c>
    </row>
    <row r="28" customFormat="false" ht="15" hidden="false" customHeight="false" outlineLevel="0" collapsed="false">
      <c r="A28" s="16" t="s">
        <v>59</v>
      </c>
      <c r="B28" s="16" t="n">
        <f aca="false">COUNTIFS(EUA!$B$6:$B$101,$A28,EUA!$K$6:$K$101,"MVP")</f>
        <v>0</v>
      </c>
      <c r="C28" s="16" t="n">
        <f aca="false">COUNTIFS(EUA!$B$6:$B$101,$A28,EUA!$K$6:$K$101,"EUA")</f>
        <v>4</v>
      </c>
      <c r="D28" s="16" t="n">
        <f aca="false">COUNTIFS(EUA!$B$6:$B$101,$A28,EUA!$K$6:$K$101,"v2")</f>
        <v>4</v>
      </c>
      <c r="E28" s="16" t="n">
        <f aca="false">COUNTIFS(EUA!$B$6:$B$101,$A28,EUA!$K$6:$K$101,"v3")</f>
        <v>0</v>
      </c>
      <c r="F28" s="6" t="n">
        <f aca="false">SUM(B28:E28)</f>
        <v>8</v>
      </c>
      <c r="H28" s="23" t="s">
        <v>24</v>
      </c>
      <c r="I28" s="16" t="n">
        <f aca="false">COUNTIF(EUA!$L$6:$L$101,H28)</f>
        <v>0</v>
      </c>
    </row>
    <row r="29" customFormat="false" ht="15" hidden="false" customHeight="false" outlineLevel="0" collapsed="false">
      <c r="A29" s="16" t="s">
        <v>60</v>
      </c>
      <c r="B29" s="16" t="n">
        <f aca="false">COUNTIFS(EUA!$B$6:$B$101,$A29,EUA!$K$6:$K$101,"MVP")</f>
        <v>0</v>
      </c>
      <c r="C29" s="16" t="n">
        <f aca="false">COUNTIFS(EUA!$B$6:$B$101,$A29,EUA!$K$6:$K$101,"EUA")</f>
        <v>6</v>
      </c>
      <c r="D29" s="16" t="n">
        <f aca="false">COUNTIFS(EUA!$B$6:$B$101,$A29,EUA!$K$6:$K$101,"v2")</f>
        <v>4</v>
      </c>
      <c r="E29" s="16" t="n">
        <f aca="false">COUNTIFS(EUA!$B$6:$B$101,$A29,EUA!$K$6:$K$101,"v3")</f>
        <v>0</v>
      </c>
      <c r="F29" s="6" t="n">
        <f aca="false">SUM(B29:E29)</f>
        <v>10</v>
      </c>
    </row>
    <row r="30" customFormat="false" ht="15" hidden="false" customHeight="false" outlineLevel="0" collapsed="false">
      <c r="A30" s="16" t="s">
        <v>61</v>
      </c>
      <c r="B30" s="16" t="n">
        <f aca="false">COUNTIFS(EUA!$B$6:$B$101,$A30,EUA!$K$6:$K$101,"MVP")</f>
        <v>0</v>
      </c>
      <c r="C30" s="16" t="n">
        <f aca="false">COUNTIFS(EUA!$B$6:$B$101,$A30,EUA!$K$6:$K$101,"EUA")</f>
        <v>6</v>
      </c>
      <c r="D30" s="16" t="n">
        <f aca="false">COUNTIFS(EUA!$B$6:$B$101,$A30,EUA!$K$6:$K$101,"v2")</f>
        <v>1</v>
      </c>
      <c r="E30" s="16" t="n">
        <f aca="false">COUNTIFS(EUA!$B$6:$B$101,$A30,EUA!$K$6:$K$101,"v3")</f>
        <v>0</v>
      </c>
      <c r="F30" s="6" t="n">
        <f aca="false">SUM(B30:E30)</f>
        <v>7</v>
      </c>
    </row>
    <row r="31" customFormat="false" ht="15" hidden="false" customHeight="false" outlineLevel="0" collapsed="false">
      <c r="A31" s="6" t="s">
        <v>43</v>
      </c>
      <c r="B31" s="6" t="n">
        <f aca="false">SUM(B22:B30)</f>
        <v>0</v>
      </c>
      <c r="C31" s="6" t="n">
        <f aca="false">SUM(C22:C30)</f>
        <v>67</v>
      </c>
      <c r="D31" s="6" t="n">
        <f aca="false">SUM(D22:D30)</f>
        <v>29</v>
      </c>
      <c r="E31" s="6" t="n">
        <f aca="false">SUM(E22:E30)</f>
        <v>0</v>
      </c>
      <c r="F31" s="6" t="n">
        <f aca="false">SUM(F22:F30)</f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7.75" hidden="false" customHeight="true" outlineLevel="0" collapsed="false">
      <c r="A5" s="24" t="s">
        <v>64</v>
      </c>
      <c r="B5" s="24" t="s">
        <v>42</v>
      </c>
      <c r="C5" s="24" t="s">
        <v>65</v>
      </c>
      <c r="D5" s="24" t="s">
        <v>66</v>
      </c>
      <c r="E5" s="24" t="s">
        <v>67</v>
      </c>
      <c r="F5" s="24" t="s">
        <v>68</v>
      </c>
      <c r="G5" s="24" t="s">
        <v>69</v>
      </c>
      <c r="H5" s="24" t="s">
        <v>70</v>
      </c>
      <c r="I5" s="24" t="s">
        <v>35</v>
      </c>
      <c r="J5" s="24" t="s">
        <v>71</v>
      </c>
      <c r="K5" s="24" t="s">
        <v>26</v>
      </c>
      <c r="L5" s="24" t="s">
        <v>11</v>
      </c>
      <c r="M5" s="24" t="s">
        <v>72</v>
      </c>
    </row>
    <row r="6" customFormat="false" ht="23.85" hidden="false" customHeight="false" outlineLevel="0" collapsed="false">
      <c r="A6" s="25" t="s">
        <v>73</v>
      </c>
      <c r="B6" s="26" t="s">
        <v>45</v>
      </c>
      <c r="C6" s="26" t="s">
        <v>74</v>
      </c>
      <c r="D6" s="27" t="s">
        <v>75</v>
      </c>
      <c r="E6" s="26" t="s">
        <v>76</v>
      </c>
      <c r="F6" s="26" t="s">
        <v>77</v>
      </c>
      <c r="G6" s="26" t="s">
        <v>78</v>
      </c>
      <c r="H6" s="26" t="s">
        <v>79</v>
      </c>
      <c r="I6" s="26" t="s">
        <v>79</v>
      </c>
      <c r="J6" s="26" t="s">
        <v>80</v>
      </c>
      <c r="K6" s="26" t="s">
        <v>27</v>
      </c>
      <c r="L6" s="26" t="s">
        <v>12</v>
      </c>
      <c r="M6" s="26" t="s">
        <v>81</v>
      </c>
    </row>
    <row r="7" customFormat="false" ht="15" hidden="false" customHeight="false" outlineLevel="0" collapsed="false">
      <c r="A7" s="25" t="s">
        <v>82</v>
      </c>
      <c r="B7" s="26" t="s">
        <v>45</v>
      </c>
      <c r="C7" s="26" t="s">
        <v>74</v>
      </c>
      <c r="D7" s="27" t="s">
        <v>83</v>
      </c>
      <c r="E7" s="26" t="s">
        <v>76</v>
      </c>
      <c r="F7" s="26" t="s">
        <v>84</v>
      </c>
      <c r="G7" s="26" t="s">
        <v>78</v>
      </c>
      <c r="H7" s="26" t="s">
        <v>85</v>
      </c>
      <c r="I7" s="26" t="s">
        <v>86</v>
      </c>
      <c r="J7" s="26" t="s">
        <v>87</v>
      </c>
      <c r="K7" s="26" t="s">
        <v>27</v>
      </c>
      <c r="L7" s="26" t="s">
        <v>12</v>
      </c>
      <c r="M7" s="26" t="s">
        <v>88</v>
      </c>
    </row>
    <row r="8" customFormat="false" ht="23.85" hidden="false" customHeight="false" outlineLevel="0" collapsed="false">
      <c r="A8" s="25" t="s">
        <v>89</v>
      </c>
      <c r="B8" s="26" t="s">
        <v>45</v>
      </c>
      <c r="C8" s="26" t="s">
        <v>74</v>
      </c>
      <c r="D8" s="27" t="s">
        <v>90</v>
      </c>
      <c r="E8" s="26" t="s">
        <v>76</v>
      </c>
      <c r="F8" s="26" t="s">
        <v>91</v>
      </c>
      <c r="G8" s="26" t="s">
        <v>78</v>
      </c>
      <c r="H8" s="26" t="s">
        <v>79</v>
      </c>
      <c r="I8" s="26" t="s">
        <v>79</v>
      </c>
      <c r="J8" s="26" t="s">
        <v>80</v>
      </c>
      <c r="K8" s="26" t="s">
        <v>27</v>
      </c>
      <c r="L8" s="26" t="s">
        <v>12</v>
      </c>
      <c r="M8" s="26"/>
    </row>
    <row r="9" customFormat="false" ht="23.85" hidden="false" customHeight="false" outlineLevel="0" collapsed="false">
      <c r="A9" s="25" t="s">
        <v>92</v>
      </c>
      <c r="B9" s="26" t="s">
        <v>45</v>
      </c>
      <c r="C9" s="26" t="s">
        <v>74</v>
      </c>
      <c r="D9" s="27" t="s">
        <v>93</v>
      </c>
      <c r="E9" s="26" t="s">
        <v>76</v>
      </c>
      <c r="F9" s="26" t="s">
        <v>94</v>
      </c>
      <c r="G9" s="26" t="s">
        <v>78</v>
      </c>
      <c r="H9" s="26" t="s">
        <v>79</v>
      </c>
      <c r="I9" s="26" t="s">
        <v>79</v>
      </c>
      <c r="J9" s="26" t="s">
        <v>80</v>
      </c>
      <c r="K9" s="26" t="s">
        <v>27</v>
      </c>
      <c r="L9" s="26" t="s">
        <v>12</v>
      </c>
      <c r="M9" s="26" t="s">
        <v>95</v>
      </c>
    </row>
    <row r="10" customFormat="false" ht="23.85" hidden="false" customHeight="false" outlineLevel="0" collapsed="false">
      <c r="A10" s="25" t="s">
        <v>96</v>
      </c>
      <c r="B10" s="26" t="s">
        <v>45</v>
      </c>
      <c r="C10" s="26" t="s">
        <v>74</v>
      </c>
      <c r="D10" s="27" t="s">
        <v>97</v>
      </c>
      <c r="E10" s="26" t="s">
        <v>98</v>
      </c>
      <c r="F10" s="26" t="s">
        <v>99</v>
      </c>
      <c r="G10" s="26" t="s">
        <v>100</v>
      </c>
      <c r="H10" s="26" t="s">
        <v>101</v>
      </c>
      <c r="I10" s="26" t="s">
        <v>102</v>
      </c>
      <c r="J10" s="26" t="s">
        <v>103</v>
      </c>
      <c r="K10" s="26" t="s">
        <v>27</v>
      </c>
      <c r="L10" s="26" t="s">
        <v>12</v>
      </c>
      <c r="M10" s="26" t="s">
        <v>104</v>
      </c>
    </row>
    <row r="11" customFormat="false" ht="23.85" hidden="false" customHeight="false" outlineLevel="0" collapsed="false">
      <c r="A11" s="25" t="s">
        <v>105</v>
      </c>
      <c r="B11" s="26" t="s">
        <v>45</v>
      </c>
      <c r="C11" s="26" t="s">
        <v>106</v>
      </c>
      <c r="D11" s="27" t="s">
        <v>107</v>
      </c>
      <c r="E11" s="26" t="s">
        <v>98</v>
      </c>
      <c r="F11" s="26" t="s">
        <v>108</v>
      </c>
      <c r="G11" s="26" t="s">
        <v>100</v>
      </c>
      <c r="H11" s="26" t="s">
        <v>79</v>
      </c>
      <c r="I11" s="26" t="s">
        <v>79</v>
      </c>
      <c r="J11" s="26" t="s">
        <v>80</v>
      </c>
      <c r="K11" s="26" t="s">
        <v>27</v>
      </c>
      <c r="L11" s="26" t="s">
        <v>12</v>
      </c>
      <c r="M11" s="26" t="s">
        <v>109</v>
      </c>
    </row>
    <row r="12" customFormat="false" ht="23.85" hidden="false" customHeight="false" outlineLevel="0" collapsed="false">
      <c r="A12" s="25" t="s">
        <v>110</v>
      </c>
      <c r="B12" s="26" t="s">
        <v>45</v>
      </c>
      <c r="C12" s="26" t="s">
        <v>106</v>
      </c>
      <c r="D12" s="27" t="s">
        <v>111</v>
      </c>
      <c r="E12" s="26" t="s">
        <v>76</v>
      </c>
      <c r="F12" s="26" t="s">
        <v>112</v>
      </c>
      <c r="G12" s="26" t="s">
        <v>100</v>
      </c>
      <c r="H12" s="26" t="s">
        <v>79</v>
      </c>
      <c r="I12" s="26" t="s">
        <v>79</v>
      </c>
      <c r="J12" s="26" t="s">
        <v>80</v>
      </c>
      <c r="K12" s="26" t="s">
        <v>27</v>
      </c>
      <c r="L12" s="26" t="s">
        <v>12</v>
      </c>
      <c r="M12" s="26" t="s">
        <v>113</v>
      </c>
    </row>
    <row r="13" customFormat="false" ht="23.85" hidden="false" customHeight="false" outlineLevel="0" collapsed="false">
      <c r="A13" s="25" t="s">
        <v>114</v>
      </c>
      <c r="B13" s="26" t="s">
        <v>45</v>
      </c>
      <c r="C13" s="26" t="s">
        <v>106</v>
      </c>
      <c r="D13" s="27" t="s">
        <v>115</v>
      </c>
      <c r="E13" s="26" t="s">
        <v>76</v>
      </c>
      <c r="F13" s="26" t="s">
        <v>116</v>
      </c>
      <c r="G13" s="26" t="s">
        <v>100</v>
      </c>
      <c r="H13" s="26" t="s">
        <v>79</v>
      </c>
      <c r="I13" s="26" t="s">
        <v>79</v>
      </c>
      <c r="J13" s="26" t="s">
        <v>80</v>
      </c>
      <c r="K13" s="26" t="s">
        <v>27</v>
      </c>
      <c r="L13" s="26" t="s">
        <v>12</v>
      </c>
      <c r="M13" s="26" t="s">
        <v>117</v>
      </c>
    </row>
    <row r="14" customFormat="false" ht="23.85" hidden="false" customHeight="false" outlineLevel="0" collapsed="false">
      <c r="A14" s="25" t="s">
        <v>118</v>
      </c>
      <c r="B14" s="26" t="s">
        <v>45</v>
      </c>
      <c r="C14" s="26" t="s">
        <v>106</v>
      </c>
      <c r="D14" s="27" t="s">
        <v>119</v>
      </c>
      <c r="E14" s="26" t="s">
        <v>76</v>
      </c>
      <c r="F14" s="26" t="s">
        <v>120</v>
      </c>
      <c r="G14" s="26" t="s">
        <v>100</v>
      </c>
      <c r="H14" s="26" t="s">
        <v>79</v>
      </c>
      <c r="I14" s="26" t="s">
        <v>79</v>
      </c>
      <c r="J14" s="26" t="s">
        <v>80</v>
      </c>
      <c r="K14" s="26" t="s">
        <v>27</v>
      </c>
      <c r="L14" s="26" t="s">
        <v>12</v>
      </c>
      <c r="M14" s="26"/>
    </row>
    <row r="15" customFormat="false" ht="15" hidden="false" customHeight="false" outlineLevel="0" collapsed="false">
      <c r="A15" s="25" t="s">
        <v>121</v>
      </c>
      <c r="B15" s="26" t="s">
        <v>45</v>
      </c>
      <c r="C15" s="26" t="s">
        <v>106</v>
      </c>
      <c r="D15" s="27" t="s">
        <v>122</v>
      </c>
      <c r="E15" s="26" t="s">
        <v>123</v>
      </c>
      <c r="F15" s="26" t="s">
        <v>124</v>
      </c>
      <c r="G15" s="26" t="s">
        <v>100</v>
      </c>
      <c r="H15" s="26" t="s">
        <v>85</v>
      </c>
      <c r="I15" s="26" t="s">
        <v>86</v>
      </c>
      <c r="J15" s="26" t="s">
        <v>87</v>
      </c>
      <c r="K15" s="26" t="s">
        <v>31</v>
      </c>
      <c r="L15" s="26" t="s">
        <v>18</v>
      </c>
      <c r="M15" s="26" t="s">
        <v>125</v>
      </c>
    </row>
    <row r="16" customFormat="false" ht="23.85" hidden="false" customHeight="false" outlineLevel="0" collapsed="false">
      <c r="A16" s="25" t="s">
        <v>126</v>
      </c>
      <c r="B16" s="26" t="s">
        <v>45</v>
      </c>
      <c r="C16" s="26" t="s">
        <v>127</v>
      </c>
      <c r="D16" s="27" t="s">
        <v>128</v>
      </c>
      <c r="E16" s="26" t="s">
        <v>129</v>
      </c>
      <c r="F16" s="26" t="s">
        <v>124</v>
      </c>
      <c r="G16" s="26" t="s">
        <v>100</v>
      </c>
      <c r="H16" s="26" t="s">
        <v>79</v>
      </c>
      <c r="I16" s="26" t="s">
        <v>79</v>
      </c>
      <c r="J16" s="26" t="s">
        <v>80</v>
      </c>
      <c r="K16" s="26" t="s">
        <v>31</v>
      </c>
      <c r="L16" s="26" t="s">
        <v>18</v>
      </c>
      <c r="M16" s="26" t="s">
        <v>130</v>
      </c>
    </row>
    <row r="17" customFormat="false" ht="23.85" hidden="false" customHeight="false" outlineLevel="0" collapsed="false">
      <c r="A17" s="25" t="s">
        <v>131</v>
      </c>
      <c r="B17" s="26" t="s">
        <v>45</v>
      </c>
      <c r="C17" s="26" t="s">
        <v>132</v>
      </c>
      <c r="D17" s="27" t="s">
        <v>133</v>
      </c>
      <c r="E17" s="26" t="s">
        <v>134</v>
      </c>
      <c r="F17" s="26" t="s">
        <v>124</v>
      </c>
      <c r="G17" s="26" t="s">
        <v>100</v>
      </c>
      <c r="H17" s="26" t="s">
        <v>135</v>
      </c>
      <c r="I17" s="26" t="s">
        <v>102</v>
      </c>
      <c r="J17" s="26" t="s">
        <v>103</v>
      </c>
      <c r="K17" s="26" t="s">
        <v>31</v>
      </c>
      <c r="L17" s="26" t="s">
        <v>18</v>
      </c>
      <c r="M17" s="26" t="s">
        <v>136</v>
      </c>
    </row>
    <row r="18" customFormat="false" ht="23.85" hidden="false" customHeight="false" outlineLevel="0" collapsed="false">
      <c r="A18" s="25" t="s">
        <v>137</v>
      </c>
      <c r="B18" s="26" t="s">
        <v>45</v>
      </c>
      <c r="C18" s="26" t="s">
        <v>132</v>
      </c>
      <c r="D18" s="27" t="s">
        <v>138</v>
      </c>
      <c r="E18" s="26" t="s">
        <v>139</v>
      </c>
      <c r="F18" s="26" t="s">
        <v>124</v>
      </c>
      <c r="G18" s="26" t="s">
        <v>140</v>
      </c>
      <c r="H18" s="26" t="s">
        <v>141</v>
      </c>
      <c r="I18" s="26" t="s">
        <v>102</v>
      </c>
      <c r="J18" s="26" t="s">
        <v>103</v>
      </c>
      <c r="K18" s="26" t="s">
        <v>31</v>
      </c>
      <c r="L18" s="26" t="s">
        <v>16</v>
      </c>
      <c r="M18" s="26" t="s">
        <v>142</v>
      </c>
    </row>
    <row r="19" customFormat="false" ht="23.85" hidden="false" customHeight="false" outlineLevel="0" collapsed="false">
      <c r="A19" s="25" t="s">
        <v>143</v>
      </c>
      <c r="B19" s="26" t="s">
        <v>45</v>
      </c>
      <c r="C19" s="26" t="s">
        <v>144</v>
      </c>
      <c r="D19" s="27" t="s">
        <v>145</v>
      </c>
      <c r="E19" s="26" t="s">
        <v>146</v>
      </c>
      <c r="F19" s="26" t="s">
        <v>147</v>
      </c>
      <c r="G19" s="26" t="s">
        <v>148</v>
      </c>
      <c r="H19" s="26" t="s">
        <v>85</v>
      </c>
      <c r="I19" s="26" t="s">
        <v>86</v>
      </c>
      <c r="J19" s="26" t="s">
        <v>87</v>
      </c>
      <c r="K19" s="26" t="s">
        <v>27</v>
      </c>
      <c r="L19" s="26" t="s">
        <v>12</v>
      </c>
      <c r="M19" s="26" t="s">
        <v>149</v>
      </c>
    </row>
    <row r="20" customFormat="false" ht="23.85" hidden="false" customHeight="false" outlineLevel="0" collapsed="false">
      <c r="A20" s="25" t="s">
        <v>150</v>
      </c>
      <c r="B20" s="26" t="s">
        <v>46</v>
      </c>
      <c r="C20" s="26" t="s">
        <v>151</v>
      </c>
      <c r="D20" s="27" t="s">
        <v>152</v>
      </c>
      <c r="E20" s="26" t="s">
        <v>153</v>
      </c>
      <c r="F20" s="26" t="s">
        <v>154</v>
      </c>
      <c r="G20" s="26" t="s">
        <v>155</v>
      </c>
      <c r="H20" s="26" t="s">
        <v>85</v>
      </c>
      <c r="I20" s="26" t="s">
        <v>86</v>
      </c>
      <c r="J20" s="26" t="s">
        <v>87</v>
      </c>
      <c r="K20" s="26" t="s">
        <v>27</v>
      </c>
      <c r="L20" s="26" t="s">
        <v>12</v>
      </c>
      <c r="M20" s="26" t="s">
        <v>156</v>
      </c>
    </row>
    <row r="21" customFormat="false" ht="23.85" hidden="false" customHeight="false" outlineLevel="0" collapsed="false">
      <c r="A21" s="25" t="s">
        <v>157</v>
      </c>
      <c r="B21" s="26" t="s">
        <v>46</v>
      </c>
      <c r="C21" s="26" t="s">
        <v>151</v>
      </c>
      <c r="D21" s="27" t="s">
        <v>158</v>
      </c>
      <c r="E21" s="26" t="s">
        <v>76</v>
      </c>
      <c r="F21" s="26" t="s">
        <v>159</v>
      </c>
      <c r="G21" s="26" t="s">
        <v>155</v>
      </c>
      <c r="H21" s="26" t="s">
        <v>85</v>
      </c>
      <c r="I21" s="26" t="s">
        <v>86</v>
      </c>
      <c r="J21" s="26" t="s">
        <v>87</v>
      </c>
      <c r="K21" s="26" t="s">
        <v>27</v>
      </c>
      <c r="L21" s="26" t="s">
        <v>14</v>
      </c>
      <c r="M21" s="26" t="s">
        <v>160</v>
      </c>
    </row>
    <row r="22" customFormat="false" ht="23.85" hidden="false" customHeight="false" outlineLevel="0" collapsed="false">
      <c r="A22" s="25" t="s">
        <v>161</v>
      </c>
      <c r="B22" s="26" t="s">
        <v>46</v>
      </c>
      <c r="C22" s="26" t="s">
        <v>151</v>
      </c>
      <c r="D22" s="27" t="s">
        <v>162</v>
      </c>
      <c r="E22" s="26" t="s">
        <v>76</v>
      </c>
      <c r="F22" s="26" t="s">
        <v>163</v>
      </c>
      <c r="G22" s="26" t="s">
        <v>155</v>
      </c>
      <c r="H22" s="26" t="s">
        <v>164</v>
      </c>
      <c r="I22" s="26" t="s">
        <v>165</v>
      </c>
      <c r="J22" s="26" t="s">
        <v>166</v>
      </c>
      <c r="K22" s="26" t="s">
        <v>27</v>
      </c>
      <c r="L22" s="26" t="s">
        <v>14</v>
      </c>
      <c r="M22" s="26" t="s">
        <v>167</v>
      </c>
    </row>
    <row r="23" customFormat="false" ht="23.85" hidden="false" customHeight="false" outlineLevel="0" collapsed="false">
      <c r="A23" s="25" t="s">
        <v>168</v>
      </c>
      <c r="B23" s="26" t="s">
        <v>46</v>
      </c>
      <c r="C23" s="26" t="s">
        <v>151</v>
      </c>
      <c r="D23" s="27" t="s">
        <v>169</v>
      </c>
      <c r="E23" s="26" t="s">
        <v>76</v>
      </c>
      <c r="F23" s="26" t="s">
        <v>170</v>
      </c>
      <c r="G23" s="26" t="s">
        <v>155</v>
      </c>
      <c r="H23" s="26" t="s">
        <v>85</v>
      </c>
      <c r="I23" s="26" t="s">
        <v>86</v>
      </c>
      <c r="J23" s="26" t="s">
        <v>87</v>
      </c>
      <c r="K23" s="26" t="s">
        <v>27</v>
      </c>
      <c r="L23" s="26" t="s">
        <v>14</v>
      </c>
      <c r="M23" s="26" t="s">
        <v>171</v>
      </c>
    </row>
    <row r="24" customFormat="false" ht="23.85" hidden="false" customHeight="false" outlineLevel="0" collapsed="false">
      <c r="A24" s="25" t="s">
        <v>172</v>
      </c>
      <c r="B24" s="26" t="s">
        <v>46</v>
      </c>
      <c r="C24" s="26" t="s">
        <v>151</v>
      </c>
      <c r="D24" s="27" t="s">
        <v>173</v>
      </c>
      <c r="E24" s="26" t="s">
        <v>76</v>
      </c>
      <c r="F24" s="26" t="s">
        <v>174</v>
      </c>
      <c r="G24" s="26" t="s">
        <v>155</v>
      </c>
      <c r="H24" s="26" t="s">
        <v>175</v>
      </c>
      <c r="I24" s="26" t="s">
        <v>79</v>
      </c>
      <c r="J24" s="26" t="s">
        <v>80</v>
      </c>
      <c r="K24" s="26" t="s">
        <v>27</v>
      </c>
      <c r="L24" s="26" t="s">
        <v>12</v>
      </c>
      <c r="M24" s="26" t="s">
        <v>176</v>
      </c>
    </row>
    <row r="25" customFormat="false" ht="23.85" hidden="false" customHeight="false" outlineLevel="0" collapsed="false">
      <c r="A25" s="25" t="s">
        <v>177</v>
      </c>
      <c r="B25" s="26" t="s">
        <v>46</v>
      </c>
      <c r="C25" s="26" t="s">
        <v>151</v>
      </c>
      <c r="D25" s="27" t="s">
        <v>178</v>
      </c>
      <c r="E25" s="26" t="s">
        <v>76</v>
      </c>
      <c r="F25" s="26" t="s">
        <v>179</v>
      </c>
      <c r="G25" s="26" t="s">
        <v>155</v>
      </c>
      <c r="H25" s="26" t="s">
        <v>101</v>
      </c>
      <c r="I25" s="26" t="s">
        <v>102</v>
      </c>
      <c r="J25" s="26" t="s">
        <v>103</v>
      </c>
      <c r="K25" s="26" t="s">
        <v>27</v>
      </c>
      <c r="L25" s="26" t="s">
        <v>14</v>
      </c>
      <c r="M25" s="26" t="s">
        <v>180</v>
      </c>
    </row>
    <row r="26" customFormat="false" ht="23.85" hidden="false" customHeight="false" outlineLevel="0" collapsed="false">
      <c r="A26" s="25" t="s">
        <v>181</v>
      </c>
      <c r="B26" s="26" t="s">
        <v>46</v>
      </c>
      <c r="C26" s="26" t="s">
        <v>151</v>
      </c>
      <c r="D26" s="27" t="s">
        <v>182</v>
      </c>
      <c r="E26" s="26" t="s">
        <v>76</v>
      </c>
      <c r="F26" s="26" t="s">
        <v>183</v>
      </c>
      <c r="G26" s="26" t="s">
        <v>78</v>
      </c>
      <c r="H26" s="26" t="s">
        <v>85</v>
      </c>
      <c r="I26" s="26" t="s">
        <v>86</v>
      </c>
      <c r="J26" s="26" t="s">
        <v>87</v>
      </c>
      <c r="K26" s="26" t="s">
        <v>31</v>
      </c>
      <c r="L26" s="26" t="s">
        <v>16</v>
      </c>
      <c r="M26" s="26" t="s">
        <v>184</v>
      </c>
    </row>
    <row r="27" customFormat="false" ht="35.05" hidden="false" customHeight="false" outlineLevel="0" collapsed="false">
      <c r="A27" s="25" t="s">
        <v>185</v>
      </c>
      <c r="B27" s="26" t="s">
        <v>46</v>
      </c>
      <c r="C27" s="26" t="s">
        <v>186</v>
      </c>
      <c r="D27" s="27" t="s">
        <v>187</v>
      </c>
      <c r="E27" s="26" t="s">
        <v>188</v>
      </c>
      <c r="F27" s="26" t="s">
        <v>189</v>
      </c>
      <c r="G27" s="26" t="s">
        <v>100</v>
      </c>
      <c r="H27" s="26" t="s">
        <v>190</v>
      </c>
      <c r="I27" s="26" t="s">
        <v>165</v>
      </c>
      <c r="J27" s="26" t="s">
        <v>166</v>
      </c>
      <c r="K27" s="26" t="s">
        <v>27</v>
      </c>
      <c r="L27" s="26" t="s">
        <v>12</v>
      </c>
      <c r="M27" s="26" t="s">
        <v>191</v>
      </c>
    </row>
    <row r="28" customFormat="false" ht="23.85" hidden="false" customHeight="false" outlineLevel="0" collapsed="false">
      <c r="A28" s="25" t="s">
        <v>192</v>
      </c>
      <c r="B28" s="26" t="s">
        <v>46</v>
      </c>
      <c r="C28" s="26" t="s">
        <v>186</v>
      </c>
      <c r="D28" s="27" t="s">
        <v>193</v>
      </c>
      <c r="E28" s="26" t="s">
        <v>194</v>
      </c>
      <c r="F28" s="26" t="s">
        <v>124</v>
      </c>
      <c r="G28" s="26" t="s">
        <v>100</v>
      </c>
      <c r="H28" s="26" t="s">
        <v>195</v>
      </c>
      <c r="I28" s="26" t="s">
        <v>102</v>
      </c>
      <c r="J28" s="26" t="s">
        <v>103</v>
      </c>
      <c r="K28" s="26" t="s">
        <v>31</v>
      </c>
      <c r="L28" s="26" t="s">
        <v>18</v>
      </c>
      <c r="M28" s="26" t="s">
        <v>196</v>
      </c>
    </row>
    <row r="29" customFormat="false" ht="15" hidden="false" customHeight="false" outlineLevel="0" collapsed="false">
      <c r="A29" s="25" t="s">
        <v>197</v>
      </c>
      <c r="B29" s="26" t="s">
        <v>46</v>
      </c>
      <c r="C29" s="26" t="s">
        <v>198</v>
      </c>
      <c r="D29" s="27" t="s">
        <v>199</v>
      </c>
      <c r="E29" s="26" t="s">
        <v>200</v>
      </c>
      <c r="F29" s="26" t="s">
        <v>201</v>
      </c>
      <c r="G29" s="26" t="s">
        <v>100</v>
      </c>
      <c r="H29" s="26" t="s">
        <v>202</v>
      </c>
      <c r="I29" s="26" t="s">
        <v>22</v>
      </c>
      <c r="J29" s="26" t="s">
        <v>203</v>
      </c>
      <c r="K29" s="26" t="s">
        <v>31</v>
      </c>
      <c r="L29" s="26" t="s">
        <v>22</v>
      </c>
      <c r="M29" s="26" t="s">
        <v>204</v>
      </c>
    </row>
    <row r="30" customFormat="false" ht="23.85" hidden="false" customHeight="false" outlineLevel="0" collapsed="false">
      <c r="A30" s="25" t="s">
        <v>205</v>
      </c>
      <c r="B30" s="26" t="s">
        <v>47</v>
      </c>
      <c r="C30" s="26" t="s">
        <v>206</v>
      </c>
      <c r="D30" s="27" t="s">
        <v>207</v>
      </c>
      <c r="E30" s="26" t="s">
        <v>98</v>
      </c>
      <c r="F30" s="26" t="s">
        <v>208</v>
      </c>
      <c r="G30" s="26" t="s">
        <v>100</v>
      </c>
      <c r="H30" s="26" t="s">
        <v>209</v>
      </c>
      <c r="I30" s="26" t="s">
        <v>210</v>
      </c>
      <c r="J30" s="26" t="s">
        <v>211</v>
      </c>
      <c r="K30" s="26" t="s">
        <v>27</v>
      </c>
      <c r="L30" s="26" t="s">
        <v>12</v>
      </c>
      <c r="M30" s="26" t="s">
        <v>212</v>
      </c>
    </row>
    <row r="31" customFormat="false" ht="15" hidden="false" customHeight="false" outlineLevel="0" collapsed="false">
      <c r="A31" s="25" t="s">
        <v>213</v>
      </c>
      <c r="B31" s="26" t="s">
        <v>47</v>
      </c>
      <c r="C31" s="26" t="s">
        <v>206</v>
      </c>
      <c r="D31" s="27" t="s">
        <v>214</v>
      </c>
      <c r="E31" s="26" t="s">
        <v>98</v>
      </c>
      <c r="F31" s="26" t="s">
        <v>215</v>
      </c>
      <c r="G31" s="26" t="s">
        <v>100</v>
      </c>
      <c r="H31" s="26" t="s">
        <v>85</v>
      </c>
      <c r="I31" s="26" t="s">
        <v>86</v>
      </c>
      <c r="J31" s="26" t="s">
        <v>87</v>
      </c>
      <c r="K31" s="26" t="s">
        <v>27</v>
      </c>
      <c r="L31" s="26" t="s">
        <v>12</v>
      </c>
      <c r="M31" s="26" t="s">
        <v>216</v>
      </c>
    </row>
    <row r="32" customFormat="false" ht="23.85" hidden="false" customHeight="false" outlineLevel="0" collapsed="false">
      <c r="A32" s="25" t="s">
        <v>217</v>
      </c>
      <c r="B32" s="26" t="s">
        <v>47</v>
      </c>
      <c r="C32" s="26" t="s">
        <v>206</v>
      </c>
      <c r="D32" s="27" t="s">
        <v>218</v>
      </c>
      <c r="E32" s="26" t="s">
        <v>98</v>
      </c>
      <c r="F32" s="26" t="s">
        <v>219</v>
      </c>
      <c r="G32" s="26" t="s">
        <v>100</v>
      </c>
      <c r="H32" s="26" t="s">
        <v>209</v>
      </c>
      <c r="I32" s="26" t="s">
        <v>210</v>
      </c>
      <c r="J32" s="26" t="s">
        <v>211</v>
      </c>
      <c r="K32" s="26" t="s">
        <v>27</v>
      </c>
      <c r="L32" s="26" t="s">
        <v>12</v>
      </c>
      <c r="M32" s="26" t="s">
        <v>220</v>
      </c>
    </row>
    <row r="33" customFormat="false" ht="23.85" hidden="false" customHeight="false" outlineLevel="0" collapsed="false">
      <c r="A33" s="25" t="s">
        <v>221</v>
      </c>
      <c r="B33" s="26" t="s">
        <v>47</v>
      </c>
      <c r="C33" s="26" t="s">
        <v>206</v>
      </c>
      <c r="D33" s="27" t="s">
        <v>222</v>
      </c>
      <c r="E33" s="26" t="s">
        <v>98</v>
      </c>
      <c r="F33" s="26" t="s">
        <v>223</v>
      </c>
      <c r="G33" s="26" t="s">
        <v>100</v>
      </c>
      <c r="H33" s="26" t="s">
        <v>209</v>
      </c>
      <c r="I33" s="26" t="s">
        <v>210</v>
      </c>
      <c r="J33" s="26" t="s">
        <v>211</v>
      </c>
      <c r="K33" s="26" t="s">
        <v>31</v>
      </c>
      <c r="L33" s="26" t="s">
        <v>14</v>
      </c>
      <c r="M33" s="26"/>
    </row>
    <row r="34" customFormat="false" ht="23.85" hidden="false" customHeight="false" outlineLevel="0" collapsed="false">
      <c r="A34" s="25" t="s">
        <v>224</v>
      </c>
      <c r="B34" s="26" t="s">
        <v>47</v>
      </c>
      <c r="C34" s="26" t="s">
        <v>225</v>
      </c>
      <c r="D34" s="27" t="s">
        <v>226</v>
      </c>
      <c r="E34" s="26" t="s">
        <v>98</v>
      </c>
      <c r="F34" s="26" t="s">
        <v>227</v>
      </c>
      <c r="G34" s="26" t="s">
        <v>100</v>
      </c>
      <c r="H34" s="26" t="s">
        <v>209</v>
      </c>
      <c r="I34" s="26" t="s">
        <v>210</v>
      </c>
      <c r="J34" s="26" t="s">
        <v>211</v>
      </c>
      <c r="K34" s="26" t="s">
        <v>27</v>
      </c>
      <c r="L34" s="26" t="s">
        <v>12</v>
      </c>
      <c r="M34" s="26"/>
    </row>
    <row r="35" customFormat="false" ht="23.85" hidden="false" customHeight="false" outlineLevel="0" collapsed="false">
      <c r="A35" s="25" t="s">
        <v>228</v>
      </c>
      <c r="B35" s="26" t="s">
        <v>47</v>
      </c>
      <c r="C35" s="26" t="s">
        <v>225</v>
      </c>
      <c r="D35" s="27" t="s">
        <v>229</v>
      </c>
      <c r="E35" s="26" t="s">
        <v>98</v>
      </c>
      <c r="F35" s="26" t="s">
        <v>230</v>
      </c>
      <c r="G35" s="26" t="s">
        <v>100</v>
      </c>
      <c r="H35" s="26" t="s">
        <v>209</v>
      </c>
      <c r="I35" s="26" t="s">
        <v>210</v>
      </c>
      <c r="J35" s="26" t="s">
        <v>211</v>
      </c>
      <c r="K35" s="26" t="s">
        <v>27</v>
      </c>
      <c r="L35" s="26" t="s">
        <v>12</v>
      </c>
      <c r="M35" s="26"/>
    </row>
    <row r="36" customFormat="false" ht="23.85" hidden="false" customHeight="false" outlineLevel="0" collapsed="false">
      <c r="A36" s="25" t="s">
        <v>231</v>
      </c>
      <c r="B36" s="26" t="s">
        <v>47</v>
      </c>
      <c r="C36" s="26" t="s">
        <v>225</v>
      </c>
      <c r="D36" s="27" t="s">
        <v>232</v>
      </c>
      <c r="E36" s="26" t="s">
        <v>98</v>
      </c>
      <c r="F36" s="26" t="s">
        <v>233</v>
      </c>
      <c r="G36" s="26" t="s">
        <v>100</v>
      </c>
      <c r="H36" s="26" t="s">
        <v>209</v>
      </c>
      <c r="I36" s="26" t="s">
        <v>210</v>
      </c>
      <c r="J36" s="26" t="s">
        <v>211</v>
      </c>
      <c r="K36" s="26" t="s">
        <v>27</v>
      </c>
      <c r="L36" s="26" t="s">
        <v>12</v>
      </c>
      <c r="M36" s="26"/>
    </row>
    <row r="37" customFormat="false" ht="23.85" hidden="false" customHeight="false" outlineLevel="0" collapsed="false">
      <c r="A37" s="25" t="s">
        <v>234</v>
      </c>
      <c r="B37" s="26" t="s">
        <v>47</v>
      </c>
      <c r="C37" s="26" t="s">
        <v>225</v>
      </c>
      <c r="D37" s="27" t="s">
        <v>235</v>
      </c>
      <c r="E37" s="26" t="s">
        <v>98</v>
      </c>
      <c r="F37" s="26" t="s">
        <v>236</v>
      </c>
      <c r="G37" s="26" t="s">
        <v>100</v>
      </c>
      <c r="H37" s="26" t="s">
        <v>209</v>
      </c>
      <c r="I37" s="26" t="s">
        <v>210</v>
      </c>
      <c r="J37" s="26" t="s">
        <v>211</v>
      </c>
      <c r="K37" s="26" t="s">
        <v>27</v>
      </c>
      <c r="L37" s="26" t="s">
        <v>12</v>
      </c>
      <c r="M37" s="26"/>
    </row>
    <row r="38" customFormat="false" ht="23.85" hidden="false" customHeight="false" outlineLevel="0" collapsed="false">
      <c r="A38" s="25" t="s">
        <v>237</v>
      </c>
      <c r="B38" s="26" t="s">
        <v>47</v>
      </c>
      <c r="C38" s="26" t="s">
        <v>225</v>
      </c>
      <c r="D38" s="27" t="s">
        <v>238</v>
      </c>
      <c r="E38" s="26" t="s">
        <v>98</v>
      </c>
      <c r="F38" s="26" t="s">
        <v>239</v>
      </c>
      <c r="G38" s="26" t="s">
        <v>100</v>
      </c>
      <c r="H38" s="26" t="s">
        <v>209</v>
      </c>
      <c r="I38" s="26" t="s">
        <v>210</v>
      </c>
      <c r="J38" s="26" t="s">
        <v>211</v>
      </c>
      <c r="K38" s="26" t="s">
        <v>27</v>
      </c>
      <c r="L38" s="26" t="s">
        <v>12</v>
      </c>
      <c r="M38" s="26"/>
    </row>
    <row r="39" customFormat="false" ht="35.05" hidden="false" customHeight="false" outlineLevel="0" collapsed="false">
      <c r="A39" s="25" t="s">
        <v>240</v>
      </c>
      <c r="B39" s="26" t="s">
        <v>47</v>
      </c>
      <c r="C39" s="26" t="s">
        <v>225</v>
      </c>
      <c r="D39" s="27" t="s">
        <v>241</v>
      </c>
      <c r="E39" s="26" t="s">
        <v>98</v>
      </c>
      <c r="F39" s="26" t="s">
        <v>16</v>
      </c>
      <c r="G39" s="26" t="s">
        <v>100</v>
      </c>
      <c r="H39" s="26" t="s">
        <v>209</v>
      </c>
      <c r="I39" s="26" t="s">
        <v>210</v>
      </c>
      <c r="J39" s="26" t="s">
        <v>211</v>
      </c>
      <c r="K39" s="26" t="s">
        <v>27</v>
      </c>
      <c r="L39" s="26" t="s">
        <v>16</v>
      </c>
      <c r="M39" s="26" t="s">
        <v>242</v>
      </c>
    </row>
    <row r="40" customFormat="false" ht="23.85" hidden="false" customHeight="false" outlineLevel="0" collapsed="false">
      <c r="A40" s="25" t="s">
        <v>243</v>
      </c>
      <c r="B40" s="26" t="s">
        <v>47</v>
      </c>
      <c r="C40" s="26" t="s">
        <v>244</v>
      </c>
      <c r="D40" s="27" t="s">
        <v>245</v>
      </c>
      <c r="E40" s="26" t="s">
        <v>98</v>
      </c>
      <c r="F40" s="26" t="s">
        <v>246</v>
      </c>
      <c r="G40" s="26" t="s">
        <v>100</v>
      </c>
      <c r="H40" s="26" t="s">
        <v>209</v>
      </c>
      <c r="I40" s="26" t="s">
        <v>210</v>
      </c>
      <c r="J40" s="26" t="s">
        <v>211</v>
      </c>
      <c r="K40" s="26" t="s">
        <v>27</v>
      </c>
      <c r="L40" s="26" t="s">
        <v>12</v>
      </c>
      <c r="M40" s="26"/>
    </row>
    <row r="41" customFormat="false" ht="23.85" hidden="false" customHeight="false" outlineLevel="0" collapsed="false">
      <c r="A41" s="25" t="s">
        <v>247</v>
      </c>
      <c r="B41" s="26" t="s">
        <v>47</v>
      </c>
      <c r="C41" s="26" t="s">
        <v>244</v>
      </c>
      <c r="D41" s="27" t="s">
        <v>248</v>
      </c>
      <c r="E41" s="26" t="s">
        <v>98</v>
      </c>
      <c r="F41" s="26" t="s">
        <v>249</v>
      </c>
      <c r="G41" s="26" t="s">
        <v>100</v>
      </c>
      <c r="H41" s="26" t="s">
        <v>209</v>
      </c>
      <c r="I41" s="26" t="s">
        <v>210</v>
      </c>
      <c r="J41" s="26" t="s">
        <v>211</v>
      </c>
      <c r="K41" s="26" t="s">
        <v>27</v>
      </c>
      <c r="L41" s="26" t="s">
        <v>12</v>
      </c>
      <c r="M41" s="26"/>
    </row>
    <row r="42" customFormat="false" ht="23.85" hidden="false" customHeight="false" outlineLevel="0" collapsed="false">
      <c r="A42" s="25" t="s">
        <v>250</v>
      </c>
      <c r="B42" s="26" t="s">
        <v>47</v>
      </c>
      <c r="C42" s="26" t="s">
        <v>244</v>
      </c>
      <c r="D42" s="27" t="s">
        <v>251</v>
      </c>
      <c r="E42" s="26" t="s">
        <v>98</v>
      </c>
      <c r="F42" s="26" t="s">
        <v>252</v>
      </c>
      <c r="G42" s="26" t="s">
        <v>100</v>
      </c>
      <c r="H42" s="26" t="s">
        <v>209</v>
      </c>
      <c r="I42" s="26" t="s">
        <v>210</v>
      </c>
      <c r="J42" s="26" t="s">
        <v>211</v>
      </c>
      <c r="K42" s="26" t="s">
        <v>27</v>
      </c>
      <c r="L42" s="26" t="s">
        <v>12</v>
      </c>
      <c r="M42" s="26"/>
    </row>
    <row r="43" customFormat="false" ht="23.85" hidden="false" customHeight="false" outlineLevel="0" collapsed="false">
      <c r="A43" s="25" t="s">
        <v>253</v>
      </c>
      <c r="B43" s="26" t="s">
        <v>47</v>
      </c>
      <c r="C43" s="26" t="s">
        <v>244</v>
      </c>
      <c r="D43" s="27" t="s">
        <v>254</v>
      </c>
      <c r="E43" s="26" t="s">
        <v>98</v>
      </c>
      <c r="F43" s="26" t="s">
        <v>255</v>
      </c>
      <c r="G43" s="26" t="s">
        <v>100</v>
      </c>
      <c r="H43" s="26" t="s">
        <v>209</v>
      </c>
      <c r="I43" s="26" t="s">
        <v>210</v>
      </c>
      <c r="J43" s="26" t="s">
        <v>211</v>
      </c>
      <c r="K43" s="26" t="s">
        <v>27</v>
      </c>
      <c r="L43" s="26" t="s">
        <v>12</v>
      </c>
      <c r="M43" s="26"/>
    </row>
    <row r="44" customFormat="false" ht="23.85" hidden="false" customHeight="false" outlineLevel="0" collapsed="false">
      <c r="A44" s="25" t="s">
        <v>256</v>
      </c>
      <c r="B44" s="26" t="s">
        <v>47</v>
      </c>
      <c r="C44" s="26" t="s">
        <v>244</v>
      </c>
      <c r="D44" s="27" t="s">
        <v>257</v>
      </c>
      <c r="E44" s="26" t="s">
        <v>98</v>
      </c>
      <c r="F44" s="26" t="s">
        <v>258</v>
      </c>
      <c r="G44" s="26" t="s">
        <v>100</v>
      </c>
      <c r="H44" s="26" t="s">
        <v>209</v>
      </c>
      <c r="I44" s="26" t="s">
        <v>210</v>
      </c>
      <c r="J44" s="26" t="s">
        <v>211</v>
      </c>
      <c r="K44" s="26" t="s">
        <v>31</v>
      </c>
      <c r="L44" s="26" t="s">
        <v>14</v>
      </c>
      <c r="M44" s="26"/>
    </row>
    <row r="45" customFormat="false" ht="15" hidden="false" customHeight="false" outlineLevel="0" collapsed="false">
      <c r="A45" s="25" t="s">
        <v>259</v>
      </c>
      <c r="B45" s="26" t="s">
        <v>47</v>
      </c>
      <c r="C45" s="26" t="s">
        <v>244</v>
      </c>
      <c r="D45" s="27" t="s">
        <v>260</v>
      </c>
      <c r="E45" s="26" t="s">
        <v>98</v>
      </c>
      <c r="F45" s="26" t="s">
        <v>261</v>
      </c>
      <c r="G45" s="26" t="s">
        <v>100</v>
      </c>
      <c r="H45" s="26" t="s">
        <v>85</v>
      </c>
      <c r="I45" s="26" t="s">
        <v>86</v>
      </c>
      <c r="J45" s="26" t="s">
        <v>87</v>
      </c>
      <c r="K45" s="26" t="s">
        <v>27</v>
      </c>
      <c r="L45" s="26" t="s">
        <v>12</v>
      </c>
      <c r="M45" s="26"/>
    </row>
    <row r="46" customFormat="false" ht="23.85" hidden="false" customHeight="false" outlineLevel="0" collapsed="false">
      <c r="A46" s="25" t="s">
        <v>262</v>
      </c>
      <c r="B46" s="26" t="s">
        <v>47</v>
      </c>
      <c r="C46" s="26" t="s">
        <v>244</v>
      </c>
      <c r="D46" s="27" t="s">
        <v>263</v>
      </c>
      <c r="E46" s="26" t="s">
        <v>76</v>
      </c>
      <c r="F46" s="26" t="s">
        <v>264</v>
      </c>
      <c r="G46" s="26" t="s">
        <v>100</v>
      </c>
      <c r="H46" s="26" t="s">
        <v>265</v>
      </c>
      <c r="I46" s="26" t="s">
        <v>210</v>
      </c>
      <c r="J46" s="26" t="s">
        <v>211</v>
      </c>
      <c r="K46" s="26" t="s">
        <v>27</v>
      </c>
      <c r="L46" s="26" t="s">
        <v>12</v>
      </c>
      <c r="M46" s="26" t="s">
        <v>266</v>
      </c>
    </row>
    <row r="47" customFormat="false" ht="23.85" hidden="false" customHeight="false" outlineLevel="0" collapsed="false">
      <c r="A47" s="25" t="s">
        <v>267</v>
      </c>
      <c r="B47" s="26" t="s">
        <v>47</v>
      </c>
      <c r="C47" s="26" t="s">
        <v>244</v>
      </c>
      <c r="D47" s="27" t="s">
        <v>268</v>
      </c>
      <c r="E47" s="26" t="s">
        <v>200</v>
      </c>
      <c r="F47" s="26" t="s">
        <v>269</v>
      </c>
      <c r="G47" s="26" t="s">
        <v>100</v>
      </c>
      <c r="H47" s="26" t="s">
        <v>209</v>
      </c>
      <c r="I47" s="26" t="s">
        <v>22</v>
      </c>
      <c r="J47" s="26" t="s">
        <v>203</v>
      </c>
      <c r="K47" s="26" t="s">
        <v>27</v>
      </c>
      <c r="L47" s="26" t="s">
        <v>22</v>
      </c>
      <c r="M47" s="26" t="s">
        <v>270</v>
      </c>
    </row>
    <row r="48" customFormat="false" ht="23.85" hidden="false" customHeight="false" outlineLevel="0" collapsed="false">
      <c r="A48" s="25" t="s">
        <v>271</v>
      </c>
      <c r="B48" s="26" t="s">
        <v>47</v>
      </c>
      <c r="C48" s="26" t="s">
        <v>272</v>
      </c>
      <c r="D48" s="27" t="s">
        <v>273</v>
      </c>
      <c r="E48" s="26" t="s">
        <v>98</v>
      </c>
      <c r="F48" s="26" t="s">
        <v>274</v>
      </c>
      <c r="G48" s="26" t="s">
        <v>100</v>
      </c>
      <c r="H48" s="26" t="s">
        <v>209</v>
      </c>
      <c r="I48" s="26" t="s">
        <v>210</v>
      </c>
      <c r="J48" s="26" t="s">
        <v>211</v>
      </c>
      <c r="K48" s="26" t="s">
        <v>27</v>
      </c>
      <c r="L48" s="26" t="s">
        <v>12</v>
      </c>
      <c r="M48" s="26" t="s">
        <v>275</v>
      </c>
    </row>
    <row r="49" customFormat="false" ht="23.85" hidden="false" customHeight="false" outlineLevel="0" collapsed="false">
      <c r="A49" s="25" t="s">
        <v>276</v>
      </c>
      <c r="B49" s="26" t="s">
        <v>47</v>
      </c>
      <c r="C49" s="26" t="s">
        <v>272</v>
      </c>
      <c r="D49" s="27" t="s">
        <v>277</v>
      </c>
      <c r="E49" s="26" t="s">
        <v>98</v>
      </c>
      <c r="F49" s="26" t="s">
        <v>16</v>
      </c>
      <c r="G49" s="26" t="s">
        <v>100</v>
      </c>
      <c r="H49" s="26" t="s">
        <v>209</v>
      </c>
      <c r="I49" s="26" t="s">
        <v>210</v>
      </c>
      <c r="J49" s="26" t="s">
        <v>211</v>
      </c>
      <c r="K49" s="26" t="s">
        <v>31</v>
      </c>
      <c r="L49" s="26" t="s">
        <v>16</v>
      </c>
      <c r="M49" s="26"/>
    </row>
    <row r="50" customFormat="false" ht="23.85" hidden="false" customHeight="false" outlineLevel="0" collapsed="false">
      <c r="A50" s="25" t="s">
        <v>278</v>
      </c>
      <c r="B50" s="26" t="s">
        <v>47</v>
      </c>
      <c r="C50" s="26" t="s">
        <v>272</v>
      </c>
      <c r="D50" s="27" t="s">
        <v>279</v>
      </c>
      <c r="E50" s="26" t="s">
        <v>98</v>
      </c>
      <c r="F50" s="26" t="s">
        <v>280</v>
      </c>
      <c r="G50" s="26" t="s">
        <v>100</v>
      </c>
      <c r="H50" s="26" t="s">
        <v>79</v>
      </c>
      <c r="I50" s="26" t="s">
        <v>79</v>
      </c>
      <c r="J50" s="26" t="s">
        <v>80</v>
      </c>
      <c r="K50" s="26" t="s">
        <v>27</v>
      </c>
      <c r="L50" s="26" t="s">
        <v>12</v>
      </c>
      <c r="M50" s="26" t="s">
        <v>281</v>
      </c>
    </row>
    <row r="51" customFormat="false" ht="23.85" hidden="false" customHeight="false" outlineLevel="0" collapsed="false">
      <c r="A51" s="25" t="s">
        <v>282</v>
      </c>
      <c r="B51" s="26" t="s">
        <v>47</v>
      </c>
      <c r="C51" s="26" t="s">
        <v>144</v>
      </c>
      <c r="D51" s="27" t="s">
        <v>283</v>
      </c>
      <c r="E51" s="26" t="s">
        <v>146</v>
      </c>
      <c r="F51" s="26" t="s">
        <v>284</v>
      </c>
      <c r="G51" s="26" t="s">
        <v>148</v>
      </c>
      <c r="H51" s="26" t="s">
        <v>85</v>
      </c>
      <c r="I51" s="26" t="s">
        <v>86</v>
      </c>
      <c r="J51" s="26" t="s">
        <v>87</v>
      </c>
      <c r="K51" s="26" t="s">
        <v>27</v>
      </c>
      <c r="L51" s="26" t="s">
        <v>12</v>
      </c>
      <c r="M51" s="26"/>
    </row>
    <row r="52" customFormat="false" ht="23.85" hidden="false" customHeight="false" outlineLevel="0" collapsed="false">
      <c r="A52" s="25" t="s">
        <v>285</v>
      </c>
      <c r="B52" s="26" t="s">
        <v>47</v>
      </c>
      <c r="C52" s="26" t="s">
        <v>144</v>
      </c>
      <c r="D52" s="27" t="s">
        <v>286</v>
      </c>
      <c r="E52" s="26" t="s">
        <v>146</v>
      </c>
      <c r="F52" s="26" t="s">
        <v>287</v>
      </c>
      <c r="G52" s="26" t="s">
        <v>140</v>
      </c>
      <c r="H52" s="26" t="s">
        <v>85</v>
      </c>
      <c r="I52" s="26" t="s">
        <v>86</v>
      </c>
      <c r="J52" s="26" t="s">
        <v>87</v>
      </c>
      <c r="K52" s="26" t="s">
        <v>27</v>
      </c>
      <c r="L52" s="26" t="s">
        <v>12</v>
      </c>
      <c r="M52" s="26" t="s">
        <v>288</v>
      </c>
    </row>
    <row r="53" customFormat="false" ht="23.85" hidden="false" customHeight="false" outlineLevel="0" collapsed="false">
      <c r="A53" s="25" t="s">
        <v>289</v>
      </c>
      <c r="B53" s="26" t="s">
        <v>47</v>
      </c>
      <c r="C53" s="26" t="s">
        <v>144</v>
      </c>
      <c r="D53" s="27" t="s">
        <v>290</v>
      </c>
      <c r="E53" s="26" t="s">
        <v>291</v>
      </c>
      <c r="F53" s="26" t="s">
        <v>292</v>
      </c>
      <c r="G53" s="26" t="s">
        <v>140</v>
      </c>
      <c r="H53" s="26" t="s">
        <v>85</v>
      </c>
      <c r="I53" s="26" t="s">
        <v>86</v>
      </c>
      <c r="J53" s="26" t="s">
        <v>87</v>
      </c>
      <c r="K53" s="26" t="s">
        <v>31</v>
      </c>
      <c r="L53" s="26" t="s">
        <v>14</v>
      </c>
      <c r="M53" s="26" t="s">
        <v>293</v>
      </c>
    </row>
    <row r="54" customFormat="false" ht="15" hidden="false" customHeight="false" outlineLevel="0" collapsed="false">
      <c r="A54" s="25" t="s">
        <v>294</v>
      </c>
      <c r="B54" s="26" t="s">
        <v>47</v>
      </c>
      <c r="C54" s="26" t="s">
        <v>295</v>
      </c>
      <c r="D54" s="27" t="s">
        <v>296</v>
      </c>
      <c r="E54" s="26" t="s">
        <v>297</v>
      </c>
      <c r="F54" s="26" t="s">
        <v>24</v>
      </c>
      <c r="G54" s="26" t="s">
        <v>298</v>
      </c>
      <c r="H54" s="26" t="s">
        <v>85</v>
      </c>
      <c r="I54" s="26" t="s">
        <v>86</v>
      </c>
      <c r="J54" s="26" t="s">
        <v>87</v>
      </c>
      <c r="K54" s="26" t="s">
        <v>27</v>
      </c>
      <c r="L54" s="26" t="s">
        <v>24</v>
      </c>
      <c r="M54" s="26" t="s">
        <v>299</v>
      </c>
    </row>
    <row r="55" customFormat="false" ht="35.05" hidden="false" customHeight="false" outlineLevel="0" collapsed="false">
      <c r="A55" s="25" t="s">
        <v>300</v>
      </c>
      <c r="B55" s="26" t="s">
        <v>48</v>
      </c>
      <c r="C55" s="26" t="s">
        <v>301</v>
      </c>
      <c r="D55" s="27" t="s">
        <v>302</v>
      </c>
      <c r="E55" s="26" t="s">
        <v>98</v>
      </c>
      <c r="F55" s="26" t="s">
        <v>303</v>
      </c>
      <c r="G55" s="26" t="s">
        <v>140</v>
      </c>
      <c r="H55" s="26" t="s">
        <v>304</v>
      </c>
      <c r="I55" s="26" t="s">
        <v>86</v>
      </c>
      <c r="J55" s="26" t="s">
        <v>87</v>
      </c>
      <c r="K55" s="26" t="s">
        <v>27</v>
      </c>
      <c r="L55" s="26" t="s">
        <v>12</v>
      </c>
      <c r="M55" s="26" t="s">
        <v>305</v>
      </c>
    </row>
    <row r="56" customFormat="false" ht="15" hidden="false" customHeight="false" outlineLevel="0" collapsed="false">
      <c r="A56" s="25" t="s">
        <v>306</v>
      </c>
      <c r="B56" s="26" t="s">
        <v>48</v>
      </c>
      <c r="C56" s="26" t="s">
        <v>301</v>
      </c>
      <c r="D56" s="27" t="s">
        <v>307</v>
      </c>
      <c r="E56" s="26" t="s">
        <v>98</v>
      </c>
      <c r="F56" s="26" t="s">
        <v>308</v>
      </c>
      <c r="G56" s="26" t="s">
        <v>140</v>
      </c>
      <c r="H56" s="26" t="s">
        <v>309</v>
      </c>
      <c r="I56" s="26" t="s">
        <v>86</v>
      </c>
      <c r="J56" s="26" t="s">
        <v>87</v>
      </c>
      <c r="K56" s="26" t="s">
        <v>31</v>
      </c>
      <c r="L56" s="26" t="s">
        <v>12</v>
      </c>
      <c r="M56" s="26" t="s">
        <v>310</v>
      </c>
    </row>
    <row r="57" customFormat="false" ht="23.85" hidden="false" customHeight="false" outlineLevel="0" collapsed="false">
      <c r="A57" s="25" t="s">
        <v>311</v>
      </c>
      <c r="B57" s="26" t="s">
        <v>48</v>
      </c>
      <c r="C57" s="26" t="s">
        <v>301</v>
      </c>
      <c r="D57" s="27" t="s">
        <v>312</v>
      </c>
      <c r="E57" s="26" t="s">
        <v>98</v>
      </c>
      <c r="F57" s="26" t="s">
        <v>313</v>
      </c>
      <c r="G57" s="26" t="s">
        <v>140</v>
      </c>
      <c r="H57" s="26" t="s">
        <v>304</v>
      </c>
      <c r="I57" s="26" t="s">
        <v>86</v>
      </c>
      <c r="J57" s="26" t="s">
        <v>87</v>
      </c>
      <c r="K57" s="26" t="s">
        <v>27</v>
      </c>
      <c r="L57" s="26" t="s">
        <v>12</v>
      </c>
      <c r="M57" s="26" t="s">
        <v>314</v>
      </c>
    </row>
    <row r="58" customFormat="false" ht="15" hidden="false" customHeight="false" outlineLevel="0" collapsed="false">
      <c r="A58" s="25" t="s">
        <v>315</v>
      </c>
      <c r="B58" s="26" t="s">
        <v>48</v>
      </c>
      <c r="C58" s="26" t="s">
        <v>301</v>
      </c>
      <c r="D58" s="27" t="s">
        <v>316</v>
      </c>
      <c r="E58" s="26" t="s">
        <v>98</v>
      </c>
      <c r="F58" s="26" t="s">
        <v>317</v>
      </c>
      <c r="G58" s="26" t="s">
        <v>100</v>
      </c>
      <c r="H58" s="26" t="s">
        <v>304</v>
      </c>
      <c r="I58" s="26" t="s">
        <v>86</v>
      </c>
      <c r="J58" s="26" t="s">
        <v>87</v>
      </c>
      <c r="K58" s="26" t="s">
        <v>27</v>
      </c>
      <c r="L58" s="26" t="s">
        <v>12</v>
      </c>
      <c r="M58" s="26" t="s">
        <v>318</v>
      </c>
    </row>
    <row r="59" customFormat="false" ht="15" hidden="false" customHeight="false" outlineLevel="0" collapsed="false">
      <c r="A59" s="25" t="s">
        <v>319</v>
      </c>
      <c r="B59" s="26" t="s">
        <v>48</v>
      </c>
      <c r="C59" s="26" t="s">
        <v>301</v>
      </c>
      <c r="D59" s="27" t="s">
        <v>320</v>
      </c>
      <c r="E59" s="26" t="s">
        <v>98</v>
      </c>
      <c r="F59" s="26" t="s">
        <v>321</v>
      </c>
      <c r="G59" s="26" t="s">
        <v>140</v>
      </c>
      <c r="H59" s="26" t="s">
        <v>304</v>
      </c>
      <c r="I59" s="26" t="s">
        <v>86</v>
      </c>
      <c r="J59" s="26" t="s">
        <v>87</v>
      </c>
      <c r="K59" s="26" t="s">
        <v>31</v>
      </c>
      <c r="L59" s="26" t="s">
        <v>14</v>
      </c>
      <c r="M59" s="26"/>
    </row>
    <row r="60" customFormat="false" ht="15" hidden="false" customHeight="false" outlineLevel="0" collapsed="false">
      <c r="A60" s="25" t="s">
        <v>322</v>
      </c>
      <c r="B60" s="26" t="s">
        <v>48</v>
      </c>
      <c r="C60" s="26" t="s">
        <v>301</v>
      </c>
      <c r="D60" s="27" t="s">
        <v>323</v>
      </c>
      <c r="E60" s="26" t="s">
        <v>200</v>
      </c>
      <c r="F60" s="26" t="s">
        <v>324</v>
      </c>
      <c r="G60" s="26" t="s">
        <v>140</v>
      </c>
      <c r="H60" s="26" t="s">
        <v>304</v>
      </c>
      <c r="I60" s="26" t="s">
        <v>22</v>
      </c>
      <c r="J60" s="26" t="s">
        <v>203</v>
      </c>
      <c r="K60" s="26" t="s">
        <v>27</v>
      </c>
      <c r="L60" s="26" t="s">
        <v>22</v>
      </c>
      <c r="M60" s="26" t="s">
        <v>325</v>
      </c>
    </row>
    <row r="61" customFormat="false" ht="15" hidden="false" customHeight="false" outlineLevel="0" collapsed="false">
      <c r="A61" s="25" t="s">
        <v>326</v>
      </c>
      <c r="B61" s="26" t="s">
        <v>48</v>
      </c>
      <c r="C61" s="26" t="s">
        <v>144</v>
      </c>
      <c r="D61" s="27" t="s">
        <v>327</v>
      </c>
      <c r="E61" s="26" t="s">
        <v>146</v>
      </c>
      <c r="F61" s="26" t="s">
        <v>328</v>
      </c>
      <c r="G61" s="26" t="s">
        <v>148</v>
      </c>
      <c r="H61" s="26" t="s">
        <v>304</v>
      </c>
      <c r="I61" s="26" t="s">
        <v>86</v>
      </c>
      <c r="J61" s="26" t="s">
        <v>87</v>
      </c>
      <c r="K61" s="26" t="s">
        <v>27</v>
      </c>
      <c r="L61" s="26" t="s">
        <v>12</v>
      </c>
      <c r="M61" s="26" t="s">
        <v>329</v>
      </c>
    </row>
    <row r="62" customFormat="false" ht="23.85" hidden="false" customHeight="false" outlineLevel="0" collapsed="false">
      <c r="A62" s="25" t="s">
        <v>330</v>
      </c>
      <c r="B62" s="26" t="s">
        <v>48</v>
      </c>
      <c r="C62" s="26" t="s">
        <v>331</v>
      </c>
      <c r="D62" s="27" t="s">
        <v>332</v>
      </c>
      <c r="E62" s="26" t="s">
        <v>333</v>
      </c>
      <c r="F62" s="26" t="s">
        <v>24</v>
      </c>
      <c r="G62" s="26" t="s">
        <v>334</v>
      </c>
      <c r="H62" s="26" t="s">
        <v>335</v>
      </c>
      <c r="I62" s="26" t="s">
        <v>336</v>
      </c>
      <c r="J62" s="26" t="s">
        <v>124</v>
      </c>
      <c r="K62" s="26" t="s">
        <v>27</v>
      </c>
      <c r="L62" s="26" t="s">
        <v>24</v>
      </c>
      <c r="M62" s="26" t="s">
        <v>337</v>
      </c>
    </row>
    <row r="63" customFormat="false" ht="23.85" hidden="false" customHeight="false" outlineLevel="0" collapsed="false">
      <c r="A63" s="25" t="s">
        <v>338</v>
      </c>
      <c r="B63" s="26" t="s">
        <v>48</v>
      </c>
      <c r="C63" s="26" t="s">
        <v>331</v>
      </c>
      <c r="D63" s="27" t="s">
        <v>339</v>
      </c>
      <c r="E63" s="26" t="s">
        <v>340</v>
      </c>
      <c r="F63" s="26" t="s">
        <v>341</v>
      </c>
      <c r="G63" s="26" t="s">
        <v>334</v>
      </c>
      <c r="H63" s="26" t="s">
        <v>342</v>
      </c>
      <c r="I63" s="26" t="s">
        <v>342</v>
      </c>
      <c r="J63" s="26" t="s">
        <v>124</v>
      </c>
      <c r="K63" s="26" t="s">
        <v>27</v>
      </c>
      <c r="L63" s="26" t="s">
        <v>14</v>
      </c>
      <c r="M63" s="26" t="s">
        <v>343</v>
      </c>
    </row>
    <row r="64" customFormat="false" ht="23.85" hidden="false" customHeight="false" outlineLevel="0" collapsed="false">
      <c r="A64" s="25" t="s">
        <v>344</v>
      </c>
      <c r="B64" s="26" t="s">
        <v>48</v>
      </c>
      <c r="C64" s="26" t="s">
        <v>345</v>
      </c>
      <c r="D64" s="27" t="s">
        <v>346</v>
      </c>
      <c r="E64" s="26" t="s">
        <v>98</v>
      </c>
      <c r="F64" s="26" t="s">
        <v>347</v>
      </c>
      <c r="G64" s="26" t="s">
        <v>100</v>
      </c>
      <c r="H64" s="26" t="s">
        <v>348</v>
      </c>
      <c r="I64" s="26" t="s">
        <v>165</v>
      </c>
      <c r="J64" s="26" t="s">
        <v>166</v>
      </c>
      <c r="K64" s="26" t="s">
        <v>27</v>
      </c>
      <c r="L64" s="26" t="s">
        <v>12</v>
      </c>
      <c r="M64" s="26" t="s">
        <v>349</v>
      </c>
    </row>
    <row r="65" customFormat="false" ht="23.85" hidden="false" customHeight="false" outlineLevel="0" collapsed="false">
      <c r="A65" s="25" t="s">
        <v>350</v>
      </c>
      <c r="B65" s="26" t="s">
        <v>48</v>
      </c>
      <c r="C65" s="26" t="s">
        <v>345</v>
      </c>
      <c r="D65" s="27" t="s">
        <v>351</v>
      </c>
      <c r="E65" s="26" t="s">
        <v>98</v>
      </c>
      <c r="F65" s="26" t="s">
        <v>352</v>
      </c>
      <c r="G65" s="26" t="s">
        <v>100</v>
      </c>
      <c r="H65" s="26" t="s">
        <v>348</v>
      </c>
      <c r="I65" s="26" t="s">
        <v>165</v>
      </c>
      <c r="J65" s="26" t="s">
        <v>166</v>
      </c>
      <c r="K65" s="26" t="s">
        <v>27</v>
      </c>
      <c r="L65" s="26" t="s">
        <v>12</v>
      </c>
      <c r="M65" s="26" t="s">
        <v>353</v>
      </c>
    </row>
    <row r="66" customFormat="false" ht="23.85" hidden="false" customHeight="false" outlineLevel="0" collapsed="false">
      <c r="A66" s="25" t="s">
        <v>354</v>
      </c>
      <c r="B66" s="26" t="s">
        <v>48</v>
      </c>
      <c r="C66" s="26" t="s">
        <v>345</v>
      </c>
      <c r="D66" s="27" t="s">
        <v>355</v>
      </c>
      <c r="E66" s="26" t="s">
        <v>98</v>
      </c>
      <c r="F66" s="26" t="s">
        <v>356</v>
      </c>
      <c r="G66" s="26" t="s">
        <v>100</v>
      </c>
      <c r="H66" s="26" t="s">
        <v>348</v>
      </c>
      <c r="I66" s="26" t="s">
        <v>165</v>
      </c>
      <c r="J66" s="26" t="s">
        <v>166</v>
      </c>
      <c r="K66" s="26" t="s">
        <v>27</v>
      </c>
      <c r="L66" s="26" t="s">
        <v>12</v>
      </c>
      <c r="M66" s="26"/>
    </row>
    <row r="67" customFormat="false" ht="23.85" hidden="false" customHeight="false" outlineLevel="0" collapsed="false">
      <c r="A67" s="25" t="s">
        <v>357</v>
      </c>
      <c r="B67" s="26" t="s">
        <v>48</v>
      </c>
      <c r="C67" s="26" t="s">
        <v>358</v>
      </c>
      <c r="D67" s="27" t="s">
        <v>359</v>
      </c>
      <c r="E67" s="26" t="s">
        <v>98</v>
      </c>
      <c r="F67" s="26" t="s">
        <v>360</v>
      </c>
      <c r="G67" s="26" t="s">
        <v>100</v>
      </c>
      <c r="H67" s="26" t="s">
        <v>101</v>
      </c>
      <c r="I67" s="26" t="s">
        <v>165</v>
      </c>
      <c r="J67" s="26" t="s">
        <v>166</v>
      </c>
      <c r="K67" s="26" t="s">
        <v>27</v>
      </c>
      <c r="L67" s="26" t="s">
        <v>12</v>
      </c>
      <c r="M67" s="26"/>
    </row>
    <row r="68" customFormat="false" ht="23.85" hidden="false" customHeight="false" outlineLevel="0" collapsed="false">
      <c r="A68" s="25" t="s">
        <v>361</v>
      </c>
      <c r="B68" s="26" t="s">
        <v>48</v>
      </c>
      <c r="C68" s="26" t="s">
        <v>358</v>
      </c>
      <c r="D68" s="27" t="s">
        <v>362</v>
      </c>
      <c r="E68" s="26" t="s">
        <v>98</v>
      </c>
      <c r="F68" s="26" t="s">
        <v>363</v>
      </c>
      <c r="G68" s="26" t="s">
        <v>100</v>
      </c>
      <c r="H68" s="26" t="s">
        <v>101</v>
      </c>
      <c r="I68" s="26" t="s">
        <v>165</v>
      </c>
      <c r="J68" s="26" t="s">
        <v>166</v>
      </c>
      <c r="K68" s="26" t="s">
        <v>27</v>
      </c>
      <c r="L68" s="26" t="s">
        <v>12</v>
      </c>
      <c r="M68" s="26" t="s">
        <v>364</v>
      </c>
    </row>
    <row r="69" customFormat="false" ht="23.85" hidden="false" customHeight="false" outlineLevel="0" collapsed="false">
      <c r="A69" s="25" t="s">
        <v>365</v>
      </c>
      <c r="B69" s="26" t="s">
        <v>48</v>
      </c>
      <c r="C69" s="26" t="s">
        <v>358</v>
      </c>
      <c r="D69" s="27" t="s">
        <v>366</v>
      </c>
      <c r="E69" s="26" t="s">
        <v>98</v>
      </c>
      <c r="F69" s="26" t="s">
        <v>367</v>
      </c>
      <c r="G69" s="26" t="s">
        <v>100</v>
      </c>
      <c r="H69" s="26" t="s">
        <v>101</v>
      </c>
      <c r="I69" s="26" t="s">
        <v>102</v>
      </c>
      <c r="J69" s="26" t="s">
        <v>103</v>
      </c>
      <c r="K69" s="26" t="s">
        <v>27</v>
      </c>
      <c r="L69" s="26" t="s">
        <v>12</v>
      </c>
      <c r="M69" s="26"/>
    </row>
    <row r="70" customFormat="false" ht="15" hidden="false" customHeight="false" outlineLevel="0" collapsed="false">
      <c r="A70" s="25" t="s">
        <v>368</v>
      </c>
      <c r="B70" s="26" t="s">
        <v>48</v>
      </c>
      <c r="C70" s="26" t="s">
        <v>358</v>
      </c>
      <c r="D70" s="27" t="s">
        <v>369</v>
      </c>
      <c r="E70" s="26" t="s">
        <v>98</v>
      </c>
      <c r="F70" s="26" t="s">
        <v>370</v>
      </c>
      <c r="G70" s="26" t="s">
        <v>100</v>
      </c>
      <c r="H70" s="26" t="s">
        <v>304</v>
      </c>
      <c r="I70" s="26" t="s">
        <v>86</v>
      </c>
      <c r="J70" s="26" t="s">
        <v>87</v>
      </c>
      <c r="K70" s="26" t="s">
        <v>27</v>
      </c>
      <c r="L70" s="26" t="s">
        <v>12</v>
      </c>
      <c r="M70" s="26"/>
    </row>
    <row r="71" customFormat="false" ht="15" hidden="false" customHeight="false" outlineLevel="0" collapsed="false">
      <c r="A71" s="25" t="s">
        <v>371</v>
      </c>
      <c r="B71" s="26" t="s">
        <v>48</v>
      </c>
      <c r="C71" s="26" t="s">
        <v>358</v>
      </c>
      <c r="D71" s="27" t="s">
        <v>372</v>
      </c>
      <c r="E71" s="26" t="s">
        <v>98</v>
      </c>
      <c r="F71" s="26" t="s">
        <v>373</v>
      </c>
      <c r="G71" s="26" t="s">
        <v>100</v>
      </c>
      <c r="H71" s="26" t="s">
        <v>202</v>
      </c>
      <c r="I71" s="26" t="s">
        <v>86</v>
      </c>
      <c r="J71" s="26" t="s">
        <v>87</v>
      </c>
      <c r="K71" s="26" t="s">
        <v>27</v>
      </c>
      <c r="L71" s="26" t="s">
        <v>12</v>
      </c>
      <c r="M71" s="26"/>
    </row>
    <row r="72" customFormat="false" ht="15" hidden="false" customHeight="false" outlineLevel="0" collapsed="false">
      <c r="A72" s="25" t="s">
        <v>374</v>
      </c>
      <c r="B72" s="26" t="s">
        <v>48</v>
      </c>
      <c r="C72" s="26" t="s">
        <v>358</v>
      </c>
      <c r="D72" s="27" t="s">
        <v>375</v>
      </c>
      <c r="E72" s="26" t="s">
        <v>98</v>
      </c>
      <c r="F72" s="26" t="s">
        <v>376</v>
      </c>
      <c r="G72" s="26" t="s">
        <v>100</v>
      </c>
      <c r="H72" s="26" t="s">
        <v>304</v>
      </c>
      <c r="I72" s="26" t="s">
        <v>86</v>
      </c>
      <c r="J72" s="26" t="s">
        <v>87</v>
      </c>
      <c r="K72" s="26" t="s">
        <v>31</v>
      </c>
      <c r="L72" s="26" t="s">
        <v>14</v>
      </c>
      <c r="M72" s="26"/>
    </row>
    <row r="73" customFormat="false" ht="15" hidden="false" customHeight="false" outlineLevel="0" collapsed="false">
      <c r="A73" s="25" t="s">
        <v>377</v>
      </c>
      <c r="B73" s="26" t="s">
        <v>48</v>
      </c>
      <c r="C73" s="26" t="s">
        <v>378</v>
      </c>
      <c r="D73" s="27" t="s">
        <v>379</v>
      </c>
      <c r="E73" s="26" t="s">
        <v>200</v>
      </c>
      <c r="F73" s="26" t="s">
        <v>380</v>
      </c>
      <c r="G73" s="26" t="s">
        <v>140</v>
      </c>
      <c r="H73" s="26" t="s">
        <v>79</v>
      </c>
      <c r="I73" s="26" t="s">
        <v>22</v>
      </c>
      <c r="J73" s="26" t="s">
        <v>203</v>
      </c>
      <c r="K73" s="26" t="s">
        <v>31</v>
      </c>
      <c r="L73" s="26" t="s">
        <v>22</v>
      </c>
      <c r="M73" s="26" t="s">
        <v>381</v>
      </c>
    </row>
    <row r="74" customFormat="false" ht="23.85" hidden="false" customHeight="false" outlineLevel="0" collapsed="false">
      <c r="A74" s="25" t="s">
        <v>382</v>
      </c>
      <c r="B74" s="26" t="s">
        <v>49</v>
      </c>
      <c r="C74" s="26" t="s">
        <v>383</v>
      </c>
      <c r="D74" s="27" t="s">
        <v>384</v>
      </c>
      <c r="E74" s="26" t="s">
        <v>98</v>
      </c>
      <c r="F74" s="26" t="s">
        <v>385</v>
      </c>
      <c r="G74" s="26" t="s">
        <v>100</v>
      </c>
      <c r="H74" s="26" t="s">
        <v>386</v>
      </c>
      <c r="I74" s="26" t="s">
        <v>86</v>
      </c>
      <c r="J74" s="26" t="s">
        <v>87</v>
      </c>
      <c r="K74" s="26" t="s">
        <v>27</v>
      </c>
      <c r="L74" s="26" t="s">
        <v>12</v>
      </c>
      <c r="M74" s="26"/>
    </row>
    <row r="75" customFormat="false" ht="23.85" hidden="false" customHeight="false" outlineLevel="0" collapsed="false">
      <c r="A75" s="25" t="s">
        <v>387</v>
      </c>
      <c r="B75" s="26" t="s">
        <v>49</v>
      </c>
      <c r="C75" s="26" t="s">
        <v>383</v>
      </c>
      <c r="D75" s="27" t="s">
        <v>388</v>
      </c>
      <c r="E75" s="26" t="s">
        <v>98</v>
      </c>
      <c r="F75" s="26" t="s">
        <v>389</v>
      </c>
      <c r="G75" s="26" t="s">
        <v>100</v>
      </c>
      <c r="H75" s="26" t="s">
        <v>386</v>
      </c>
      <c r="I75" s="26" t="s">
        <v>86</v>
      </c>
      <c r="J75" s="26" t="s">
        <v>87</v>
      </c>
      <c r="K75" s="26" t="s">
        <v>27</v>
      </c>
      <c r="L75" s="26" t="s">
        <v>14</v>
      </c>
      <c r="M75" s="26" t="s">
        <v>390</v>
      </c>
    </row>
    <row r="76" customFormat="false" ht="23.85" hidden="false" customHeight="false" outlineLevel="0" collapsed="false">
      <c r="A76" s="25" t="s">
        <v>391</v>
      </c>
      <c r="B76" s="26" t="s">
        <v>49</v>
      </c>
      <c r="C76" s="26" t="s">
        <v>383</v>
      </c>
      <c r="D76" s="27" t="s">
        <v>392</v>
      </c>
      <c r="E76" s="26" t="s">
        <v>98</v>
      </c>
      <c r="F76" s="26" t="s">
        <v>393</v>
      </c>
      <c r="G76" s="26" t="s">
        <v>100</v>
      </c>
      <c r="H76" s="26" t="s">
        <v>386</v>
      </c>
      <c r="I76" s="26" t="s">
        <v>86</v>
      </c>
      <c r="J76" s="26" t="s">
        <v>87</v>
      </c>
      <c r="K76" s="26" t="s">
        <v>27</v>
      </c>
      <c r="L76" s="26" t="s">
        <v>14</v>
      </c>
      <c r="M76" s="26" t="s">
        <v>394</v>
      </c>
    </row>
    <row r="77" customFormat="false" ht="15" hidden="false" customHeight="false" outlineLevel="0" collapsed="false">
      <c r="A77" s="25" t="s">
        <v>395</v>
      </c>
      <c r="B77" s="26" t="s">
        <v>49</v>
      </c>
      <c r="C77" s="26" t="s">
        <v>396</v>
      </c>
      <c r="D77" s="27" t="s">
        <v>397</v>
      </c>
      <c r="E77" s="26" t="s">
        <v>98</v>
      </c>
      <c r="F77" s="26" t="s">
        <v>398</v>
      </c>
      <c r="G77" s="26" t="s">
        <v>100</v>
      </c>
      <c r="H77" s="26" t="s">
        <v>386</v>
      </c>
      <c r="I77" s="26" t="s">
        <v>86</v>
      </c>
      <c r="J77" s="26" t="s">
        <v>87</v>
      </c>
      <c r="K77" s="26" t="s">
        <v>27</v>
      </c>
      <c r="L77" s="26" t="s">
        <v>12</v>
      </c>
      <c r="M77" s="26"/>
    </row>
    <row r="78" customFormat="false" ht="15" hidden="false" customHeight="false" outlineLevel="0" collapsed="false">
      <c r="A78" s="25" t="s">
        <v>399</v>
      </c>
      <c r="B78" s="26" t="s">
        <v>49</v>
      </c>
      <c r="C78" s="26" t="s">
        <v>396</v>
      </c>
      <c r="D78" s="27" t="s">
        <v>400</v>
      </c>
      <c r="E78" s="26" t="s">
        <v>98</v>
      </c>
      <c r="F78" s="26" t="s">
        <v>401</v>
      </c>
      <c r="G78" s="26" t="s">
        <v>100</v>
      </c>
      <c r="H78" s="26" t="s">
        <v>386</v>
      </c>
      <c r="I78" s="26" t="s">
        <v>86</v>
      </c>
      <c r="J78" s="26" t="s">
        <v>87</v>
      </c>
      <c r="K78" s="26" t="s">
        <v>27</v>
      </c>
      <c r="L78" s="26" t="s">
        <v>12</v>
      </c>
      <c r="M78" s="26"/>
    </row>
    <row r="79" customFormat="false" ht="23.85" hidden="false" customHeight="false" outlineLevel="0" collapsed="false">
      <c r="A79" s="25" t="s">
        <v>402</v>
      </c>
      <c r="B79" s="26" t="s">
        <v>49</v>
      </c>
      <c r="C79" s="26" t="s">
        <v>403</v>
      </c>
      <c r="D79" s="27" t="s">
        <v>404</v>
      </c>
      <c r="E79" s="26" t="s">
        <v>291</v>
      </c>
      <c r="F79" s="26" t="s">
        <v>405</v>
      </c>
      <c r="G79" s="26" t="s">
        <v>100</v>
      </c>
      <c r="H79" s="26" t="s">
        <v>101</v>
      </c>
      <c r="I79" s="26" t="s">
        <v>102</v>
      </c>
      <c r="J79" s="26" t="s">
        <v>103</v>
      </c>
      <c r="K79" s="26" t="s">
        <v>27</v>
      </c>
      <c r="L79" s="26" t="s">
        <v>14</v>
      </c>
      <c r="M79" s="26" t="s">
        <v>406</v>
      </c>
    </row>
    <row r="80" customFormat="false" ht="15" hidden="false" customHeight="false" outlineLevel="0" collapsed="false">
      <c r="A80" s="25" t="s">
        <v>407</v>
      </c>
      <c r="B80" s="26" t="s">
        <v>49</v>
      </c>
      <c r="C80" s="26" t="s">
        <v>403</v>
      </c>
      <c r="D80" s="27" t="s">
        <v>408</v>
      </c>
      <c r="E80" s="26" t="s">
        <v>409</v>
      </c>
      <c r="F80" s="26" t="s">
        <v>24</v>
      </c>
      <c r="G80" s="26" t="s">
        <v>298</v>
      </c>
      <c r="H80" s="26" t="s">
        <v>386</v>
      </c>
      <c r="I80" s="26" t="s">
        <v>86</v>
      </c>
      <c r="J80" s="26" t="s">
        <v>87</v>
      </c>
      <c r="K80" s="26" t="s">
        <v>27</v>
      </c>
      <c r="L80" s="26" t="s">
        <v>24</v>
      </c>
      <c r="M80" s="26"/>
    </row>
    <row r="81" customFormat="false" ht="15" hidden="false" customHeight="false" outlineLevel="0" collapsed="false">
      <c r="A81" s="25" t="s">
        <v>410</v>
      </c>
      <c r="B81" s="26" t="s">
        <v>49</v>
      </c>
      <c r="C81" s="26" t="s">
        <v>396</v>
      </c>
      <c r="D81" s="27" t="s">
        <v>411</v>
      </c>
      <c r="E81" s="26" t="s">
        <v>291</v>
      </c>
      <c r="F81" s="26" t="s">
        <v>412</v>
      </c>
      <c r="G81" s="26" t="s">
        <v>100</v>
      </c>
      <c r="H81" s="26" t="s">
        <v>85</v>
      </c>
      <c r="I81" s="26" t="s">
        <v>86</v>
      </c>
      <c r="J81" s="26" t="s">
        <v>87</v>
      </c>
      <c r="K81" s="26" t="s">
        <v>31</v>
      </c>
      <c r="L81" s="26" t="s">
        <v>14</v>
      </c>
      <c r="M81" s="26"/>
    </row>
    <row r="82" customFormat="false" ht="15" hidden="false" customHeight="false" outlineLevel="0" collapsed="false">
      <c r="A82" s="25" t="s">
        <v>413</v>
      </c>
      <c r="B82" s="26" t="s">
        <v>49</v>
      </c>
      <c r="C82" s="26" t="s">
        <v>414</v>
      </c>
      <c r="D82" s="27" t="s">
        <v>415</v>
      </c>
      <c r="E82" s="26" t="s">
        <v>146</v>
      </c>
      <c r="F82" s="26" t="s">
        <v>416</v>
      </c>
      <c r="G82" s="26" t="s">
        <v>148</v>
      </c>
      <c r="H82" s="26" t="s">
        <v>386</v>
      </c>
      <c r="I82" s="26" t="s">
        <v>86</v>
      </c>
      <c r="J82" s="26" t="s">
        <v>87</v>
      </c>
      <c r="K82" s="26" t="s">
        <v>27</v>
      </c>
      <c r="L82" s="26" t="s">
        <v>12</v>
      </c>
      <c r="M82" s="26"/>
    </row>
    <row r="83" customFormat="false" ht="15" hidden="false" customHeight="false" outlineLevel="0" collapsed="false">
      <c r="A83" s="25" t="s">
        <v>417</v>
      </c>
      <c r="B83" s="26" t="s">
        <v>49</v>
      </c>
      <c r="C83" s="26" t="s">
        <v>414</v>
      </c>
      <c r="D83" s="27" t="s">
        <v>418</v>
      </c>
      <c r="E83" s="26" t="s">
        <v>419</v>
      </c>
      <c r="F83" s="26" t="s">
        <v>420</v>
      </c>
      <c r="G83" s="26" t="s">
        <v>100</v>
      </c>
      <c r="H83" s="26" t="s">
        <v>386</v>
      </c>
      <c r="I83" s="26" t="s">
        <v>86</v>
      </c>
      <c r="J83" s="26" t="s">
        <v>87</v>
      </c>
      <c r="K83" s="26" t="s">
        <v>31</v>
      </c>
      <c r="L83" s="26" t="s">
        <v>18</v>
      </c>
      <c r="M83" s="26" t="s">
        <v>421</v>
      </c>
    </row>
    <row r="84" customFormat="false" ht="23.85" hidden="false" customHeight="false" outlineLevel="0" collapsed="false">
      <c r="A84" s="25" t="s">
        <v>422</v>
      </c>
      <c r="B84" s="26" t="s">
        <v>50</v>
      </c>
      <c r="C84" s="26" t="s">
        <v>423</v>
      </c>
      <c r="D84" s="27" t="s">
        <v>424</v>
      </c>
      <c r="E84" s="26" t="s">
        <v>425</v>
      </c>
      <c r="F84" s="26" t="s">
        <v>426</v>
      </c>
      <c r="G84" s="26" t="s">
        <v>100</v>
      </c>
      <c r="H84" s="26" t="s">
        <v>427</v>
      </c>
      <c r="I84" s="26" t="s">
        <v>102</v>
      </c>
      <c r="J84" s="26" t="s">
        <v>103</v>
      </c>
      <c r="K84" s="26" t="s">
        <v>27</v>
      </c>
      <c r="L84" s="26" t="s">
        <v>14</v>
      </c>
      <c r="M84" s="26" t="s">
        <v>428</v>
      </c>
    </row>
    <row r="85" customFormat="false" ht="23.85" hidden="false" customHeight="false" outlineLevel="0" collapsed="false">
      <c r="A85" s="25" t="s">
        <v>429</v>
      </c>
      <c r="B85" s="26" t="s">
        <v>50</v>
      </c>
      <c r="C85" s="26" t="s">
        <v>423</v>
      </c>
      <c r="D85" s="27" t="s">
        <v>430</v>
      </c>
      <c r="E85" s="26" t="s">
        <v>425</v>
      </c>
      <c r="F85" s="26" t="s">
        <v>426</v>
      </c>
      <c r="G85" s="26" t="s">
        <v>100</v>
      </c>
      <c r="H85" s="26" t="s">
        <v>427</v>
      </c>
      <c r="I85" s="26" t="s">
        <v>102</v>
      </c>
      <c r="J85" s="26" t="s">
        <v>103</v>
      </c>
      <c r="K85" s="26" t="s">
        <v>27</v>
      </c>
      <c r="L85" s="26" t="s">
        <v>14</v>
      </c>
      <c r="M85" s="26" t="s">
        <v>431</v>
      </c>
    </row>
    <row r="86" customFormat="false" ht="23.85" hidden="false" customHeight="false" outlineLevel="0" collapsed="false">
      <c r="A86" s="25" t="s">
        <v>432</v>
      </c>
      <c r="B86" s="26" t="s">
        <v>50</v>
      </c>
      <c r="C86" s="26" t="s">
        <v>433</v>
      </c>
      <c r="D86" s="27" t="s">
        <v>434</v>
      </c>
      <c r="E86" s="26" t="s">
        <v>98</v>
      </c>
      <c r="F86" s="26" t="s">
        <v>435</v>
      </c>
      <c r="G86" s="26" t="s">
        <v>100</v>
      </c>
      <c r="H86" s="26" t="s">
        <v>427</v>
      </c>
      <c r="I86" s="26" t="s">
        <v>102</v>
      </c>
      <c r="J86" s="26" t="s">
        <v>103</v>
      </c>
      <c r="K86" s="26" t="s">
        <v>27</v>
      </c>
      <c r="L86" s="26" t="s">
        <v>12</v>
      </c>
      <c r="M86" s="26"/>
    </row>
    <row r="87" customFormat="false" ht="23.85" hidden="false" customHeight="false" outlineLevel="0" collapsed="false">
      <c r="A87" s="25" t="s">
        <v>436</v>
      </c>
      <c r="B87" s="26" t="s">
        <v>50</v>
      </c>
      <c r="C87" s="26" t="s">
        <v>433</v>
      </c>
      <c r="D87" s="27" t="s">
        <v>437</v>
      </c>
      <c r="E87" s="26" t="s">
        <v>98</v>
      </c>
      <c r="F87" s="26" t="s">
        <v>438</v>
      </c>
      <c r="G87" s="26" t="s">
        <v>100</v>
      </c>
      <c r="H87" s="26" t="s">
        <v>386</v>
      </c>
      <c r="I87" s="26" t="s">
        <v>86</v>
      </c>
      <c r="J87" s="26" t="s">
        <v>87</v>
      </c>
      <c r="K87" s="26" t="s">
        <v>27</v>
      </c>
      <c r="L87" s="26" t="s">
        <v>14</v>
      </c>
      <c r="M87" s="26" t="s">
        <v>439</v>
      </c>
    </row>
    <row r="88" customFormat="false" ht="23.85" hidden="false" customHeight="false" outlineLevel="0" collapsed="false">
      <c r="A88" s="25" t="s">
        <v>440</v>
      </c>
      <c r="B88" s="26" t="s">
        <v>50</v>
      </c>
      <c r="C88" s="26" t="s">
        <v>433</v>
      </c>
      <c r="D88" s="27" t="s">
        <v>441</v>
      </c>
      <c r="E88" s="26" t="s">
        <v>98</v>
      </c>
      <c r="F88" s="26" t="s">
        <v>442</v>
      </c>
      <c r="G88" s="26" t="s">
        <v>100</v>
      </c>
      <c r="H88" s="26" t="s">
        <v>427</v>
      </c>
      <c r="I88" s="26" t="s">
        <v>102</v>
      </c>
      <c r="J88" s="26" t="s">
        <v>103</v>
      </c>
      <c r="K88" s="26" t="s">
        <v>27</v>
      </c>
      <c r="L88" s="26" t="s">
        <v>12</v>
      </c>
      <c r="M88" s="26"/>
    </row>
    <row r="89" customFormat="false" ht="23.85" hidden="false" customHeight="false" outlineLevel="0" collapsed="false">
      <c r="A89" s="25" t="s">
        <v>443</v>
      </c>
      <c r="B89" s="26" t="s">
        <v>50</v>
      </c>
      <c r="C89" s="26" t="s">
        <v>444</v>
      </c>
      <c r="D89" s="27" t="s">
        <v>445</v>
      </c>
      <c r="E89" s="26" t="s">
        <v>98</v>
      </c>
      <c r="F89" s="26" t="s">
        <v>446</v>
      </c>
      <c r="G89" s="26" t="s">
        <v>140</v>
      </c>
      <c r="H89" s="26" t="s">
        <v>427</v>
      </c>
      <c r="I89" s="26" t="s">
        <v>165</v>
      </c>
      <c r="J89" s="26" t="s">
        <v>166</v>
      </c>
      <c r="K89" s="26" t="s">
        <v>27</v>
      </c>
      <c r="L89" s="26" t="s">
        <v>12</v>
      </c>
      <c r="M89" s="26" t="s">
        <v>310</v>
      </c>
    </row>
    <row r="90" customFormat="false" ht="23.85" hidden="false" customHeight="false" outlineLevel="0" collapsed="false">
      <c r="A90" s="25" t="s">
        <v>447</v>
      </c>
      <c r="B90" s="26" t="s">
        <v>50</v>
      </c>
      <c r="C90" s="26" t="s">
        <v>448</v>
      </c>
      <c r="D90" s="27" t="s">
        <v>449</v>
      </c>
      <c r="E90" s="26" t="s">
        <v>98</v>
      </c>
      <c r="F90" s="26" t="s">
        <v>450</v>
      </c>
      <c r="G90" s="26" t="s">
        <v>140</v>
      </c>
      <c r="H90" s="26" t="s">
        <v>451</v>
      </c>
      <c r="I90" s="26" t="s">
        <v>79</v>
      </c>
      <c r="J90" s="26" t="s">
        <v>80</v>
      </c>
      <c r="K90" s="26" t="s">
        <v>27</v>
      </c>
      <c r="L90" s="26" t="s">
        <v>12</v>
      </c>
      <c r="M90" s="26" t="s">
        <v>452</v>
      </c>
    </row>
    <row r="91" customFormat="false" ht="23.85" hidden="false" customHeight="false" outlineLevel="0" collapsed="false">
      <c r="A91" s="25" t="s">
        <v>453</v>
      </c>
      <c r="B91" s="26" t="s">
        <v>50</v>
      </c>
      <c r="C91" s="26" t="s">
        <v>448</v>
      </c>
      <c r="D91" s="27" t="s">
        <v>454</v>
      </c>
      <c r="E91" s="26" t="s">
        <v>98</v>
      </c>
      <c r="F91" s="26" t="s">
        <v>455</v>
      </c>
      <c r="G91" s="26" t="s">
        <v>100</v>
      </c>
      <c r="H91" s="26" t="s">
        <v>79</v>
      </c>
      <c r="I91" s="26" t="s">
        <v>79</v>
      </c>
      <c r="J91" s="26" t="s">
        <v>80</v>
      </c>
      <c r="K91" s="26" t="s">
        <v>27</v>
      </c>
      <c r="L91" s="26" t="s">
        <v>12</v>
      </c>
      <c r="M91" s="26"/>
    </row>
    <row r="92" customFormat="false" ht="23.85" hidden="false" customHeight="false" outlineLevel="0" collapsed="false">
      <c r="A92" s="25" t="s">
        <v>456</v>
      </c>
      <c r="B92" s="26" t="s">
        <v>50</v>
      </c>
      <c r="C92" s="26" t="s">
        <v>448</v>
      </c>
      <c r="D92" s="27" t="s">
        <v>457</v>
      </c>
      <c r="E92" s="26" t="s">
        <v>98</v>
      </c>
      <c r="F92" s="26" t="s">
        <v>16</v>
      </c>
      <c r="G92" s="26" t="s">
        <v>148</v>
      </c>
      <c r="H92" s="26" t="s">
        <v>427</v>
      </c>
      <c r="I92" s="26" t="s">
        <v>102</v>
      </c>
      <c r="J92" s="26" t="s">
        <v>103</v>
      </c>
      <c r="K92" s="26" t="s">
        <v>31</v>
      </c>
      <c r="L92" s="26" t="s">
        <v>16</v>
      </c>
      <c r="M92" s="26"/>
    </row>
    <row r="93" customFormat="false" ht="23.85" hidden="false" customHeight="false" outlineLevel="0" collapsed="false">
      <c r="A93" s="25" t="s">
        <v>458</v>
      </c>
      <c r="B93" s="26" t="s">
        <v>50</v>
      </c>
      <c r="C93" s="26" t="s">
        <v>448</v>
      </c>
      <c r="D93" s="27" t="s">
        <v>459</v>
      </c>
      <c r="E93" s="26" t="s">
        <v>146</v>
      </c>
      <c r="F93" s="26" t="s">
        <v>460</v>
      </c>
      <c r="G93" s="26" t="s">
        <v>148</v>
      </c>
      <c r="H93" s="26" t="s">
        <v>451</v>
      </c>
      <c r="I93" s="26" t="s">
        <v>79</v>
      </c>
      <c r="J93" s="26" t="s">
        <v>80</v>
      </c>
      <c r="K93" s="26" t="s">
        <v>27</v>
      </c>
      <c r="L93" s="26" t="s">
        <v>12</v>
      </c>
      <c r="M93" s="26"/>
    </row>
    <row r="94" customFormat="false" ht="23.85" hidden="false" customHeight="false" outlineLevel="0" collapsed="false">
      <c r="A94" s="25" t="s">
        <v>461</v>
      </c>
      <c r="B94" s="26" t="s">
        <v>50</v>
      </c>
      <c r="C94" s="26" t="s">
        <v>462</v>
      </c>
      <c r="D94" s="27" t="s">
        <v>463</v>
      </c>
      <c r="E94" s="26" t="s">
        <v>464</v>
      </c>
      <c r="F94" s="26" t="s">
        <v>465</v>
      </c>
      <c r="G94" s="26" t="s">
        <v>466</v>
      </c>
      <c r="H94" s="26" t="s">
        <v>467</v>
      </c>
      <c r="I94" s="26" t="s">
        <v>79</v>
      </c>
      <c r="J94" s="26" t="s">
        <v>80</v>
      </c>
      <c r="K94" s="26" t="s">
        <v>27</v>
      </c>
      <c r="L94" s="26" t="s">
        <v>14</v>
      </c>
      <c r="M94" s="26"/>
    </row>
    <row r="95" customFormat="false" ht="23.85" hidden="false" customHeight="false" outlineLevel="0" collapsed="false">
      <c r="A95" s="25" t="s">
        <v>468</v>
      </c>
      <c r="B95" s="26" t="s">
        <v>50</v>
      </c>
      <c r="C95" s="26" t="s">
        <v>462</v>
      </c>
      <c r="D95" s="27" t="s">
        <v>469</v>
      </c>
      <c r="E95" s="26" t="s">
        <v>470</v>
      </c>
      <c r="F95" s="26" t="s">
        <v>16</v>
      </c>
      <c r="G95" s="26" t="s">
        <v>100</v>
      </c>
      <c r="H95" s="26" t="s">
        <v>79</v>
      </c>
      <c r="I95" s="26" t="s">
        <v>79</v>
      </c>
      <c r="J95" s="26" t="s">
        <v>80</v>
      </c>
      <c r="K95" s="26" t="s">
        <v>31</v>
      </c>
      <c r="L95" s="26" t="s">
        <v>16</v>
      </c>
      <c r="M95" s="26"/>
    </row>
    <row r="96" customFormat="false" ht="23.85" hidden="false" customHeight="false" outlineLevel="0" collapsed="false">
      <c r="A96" s="25" t="s">
        <v>471</v>
      </c>
      <c r="B96" s="26" t="s">
        <v>51</v>
      </c>
      <c r="C96" s="26" t="s">
        <v>472</v>
      </c>
      <c r="D96" s="27" t="s">
        <v>473</v>
      </c>
      <c r="E96" s="26" t="s">
        <v>98</v>
      </c>
      <c r="F96" s="26" t="s">
        <v>474</v>
      </c>
      <c r="G96" s="26" t="s">
        <v>100</v>
      </c>
      <c r="H96" s="26" t="s">
        <v>85</v>
      </c>
      <c r="I96" s="26" t="s">
        <v>86</v>
      </c>
      <c r="J96" s="26" t="s">
        <v>87</v>
      </c>
      <c r="K96" s="26" t="s">
        <v>27</v>
      </c>
      <c r="L96" s="26" t="s">
        <v>12</v>
      </c>
      <c r="M96" s="26" t="s">
        <v>475</v>
      </c>
    </row>
    <row r="97" customFormat="false" ht="23.85" hidden="false" customHeight="false" outlineLevel="0" collapsed="false">
      <c r="A97" s="25" t="s">
        <v>476</v>
      </c>
      <c r="B97" s="26" t="s">
        <v>51</v>
      </c>
      <c r="C97" s="26" t="s">
        <v>472</v>
      </c>
      <c r="D97" s="27" t="s">
        <v>477</v>
      </c>
      <c r="E97" s="26" t="s">
        <v>98</v>
      </c>
      <c r="F97" s="26" t="s">
        <v>478</v>
      </c>
      <c r="G97" s="26" t="s">
        <v>100</v>
      </c>
      <c r="H97" s="26" t="s">
        <v>85</v>
      </c>
      <c r="I97" s="26" t="s">
        <v>86</v>
      </c>
      <c r="J97" s="26" t="s">
        <v>87</v>
      </c>
      <c r="K97" s="26" t="s">
        <v>27</v>
      </c>
      <c r="L97" s="26" t="s">
        <v>12</v>
      </c>
      <c r="M97" s="26" t="s">
        <v>479</v>
      </c>
    </row>
    <row r="98" customFormat="false" ht="23.85" hidden="false" customHeight="false" outlineLevel="0" collapsed="false">
      <c r="A98" s="25" t="s">
        <v>480</v>
      </c>
      <c r="B98" s="26" t="s">
        <v>51</v>
      </c>
      <c r="C98" s="26" t="s">
        <v>358</v>
      </c>
      <c r="D98" s="27" t="s">
        <v>481</v>
      </c>
      <c r="E98" s="26" t="s">
        <v>98</v>
      </c>
      <c r="F98" s="26" t="s">
        <v>482</v>
      </c>
      <c r="G98" s="26" t="s">
        <v>100</v>
      </c>
      <c r="H98" s="26" t="s">
        <v>101</v>
      </c>
      <c r="I98" s="26" t="s">
        <v>165</v>
      </c>
      <c r="J98" s="26" t="s">
        <v>166</v>
      </c>
      <c r="K98" s="26" t="s">
        <v>27</v>
      </c>
      <c r="L98" s="26" t="s">
        <v>12</v>
      </c>
      <c r="M98" s="26"/>
    </row>
    <row r="99" customFormat="false" ht="23.85" hidden="false" customHeight="false" outlineLevel="0" collapsed="false">
      <c r="A99" s="25" t="s">
        <v>483</v>
      </c>
      <c r="B99" s="26" t="s">
        <v>51</v>
      </c>
      <c r="C99" s="26" t="s">
        <v>358</v>
      </c>
      <c r="D99" s="27" t="s">
        <v>484</v>
      </c>
      <c r="E99" s="26" t="s">
        <v>98</v>
      </c>
      <c r="F99" s="26" t="s">
        <v>485</v>
      </c>
      <c r="G99" s="26" t="s">
        <v>100</v>
      </c>
      <c r="H99" s="26" t="s">
        <v>101</v>
      </c>
      <c r="I99" s="26" t="s">
        <v>165</v>
      </c>
      <c r="J99" s="26" t="s">
        <v>166</v>
      </c>
      <c r="K99" s="26" t="s">
        <v>27</v>
      </c>
      <c r="L99" s="26" t="s">
        <v>12</v>
      </c>
      <c r="M99" s="26"/>
    </row>
    <row r="100" customFormat="false" ht="23.85" hidden="false" customHeight="false" outlineLevel="0" collapsed="false">
      <c r="A100" s="25" t="s">
        <v>486</v>
      </c>
      <c r="B100" s="26" t="s">
        <v>51</v>
      </c>
      <c r="C100" s="26" t="s">
        <v>358</v>
      </c>
      <c r="D100" s="27" t="s">
        <v>487</v>
      </c>
      <c r="E100" s="26" t="s">
        <v>98</v>
      </c>
      <c r="F100" s="26" t="s">
        <v>488</v>
      </c>
      <c r="G100" s="26" t="s">
        <v>100</v>
      </c>
      <c r="H100" s="26" t="s">
        <v>101</v>
      </c>
      <c r="I100" s="26" t="s">
        <v>165</v>
      </c>
      <c r="J100" s="26" t="s">
        <v>166</v>
      </c>
      <c r="K100" s="26" t="s">
        <v>27</v>
      </c>
      <c r="L100" s="26" t="s">
        <v>12</v>
      </c>
      <c r="M100" s="26"/>
    </row>
    <row r="101" customFormat="false" ht="15" hidden="false" customHeight="false" outlineLevel="0" collapsed="false">
      <c r="A101" s="25" t="s">
        <v>489</v>
      </c>
      <c r="B101" s="26" t="s">
        <v>51</v>
      </c>
      <c r="C101" s="26" t="s">
        <v>358</v>
      </c>
      <c r="D101" s="27" t="s">
        <v>490</v>
      </c>
      <c r="E101" s="26" t="s">
        <v>98</v>
      </c>
      <c r="F101" s="26" t="s">
        <v>491</v>
      </c>
      <c r="G101" s="26" t="s">
        <v>100</v>
      </c>
      <c r="H101" s="26" t="s">
        <v>85</v>
      </c>
      <c r="I101" s="26" t="s">
        <v>86</v>
      </c>
      <c r="J101" s="26" t="s">
        <v>87</v>
      </c>
      <c r="K101" s="26" t="s">
        <v>27</v>
      </c>
      <c r="L101" s="26" t="s">
        <v>12</v>
      </c>
      <c r="M101" s="26"/>
    </row>
    <row r="102" customFormat="false" ht="15" hidden="false" customHeight="false" outlineLevel="0" collapsed="false">
      <c r="A102" s="25" t="s">
        <v>492</v>
      </c>
      <c r="B102" s="26" t="s">
        <v>51</v>
      </c>
      <c r="C102" s="26" t="s">
        <v>493</v>
      </c>
      <c r="D102" s="27" t="s">
        <v>494</v>
      </c>
      <c r="E102" s="26" t="s">
        <v>76</v>
      </c>
      <c r="F102" s="26" t="s">
        <v>495</v>
      </c>
      <c r="G102" s="26" t="s">
        <v>124</v>
      </c>
      <c r="H102" s="26" t="s">
        <v>124</v>
      </c>
      <c r="I102" s="26" t="s">
        <v>22</v>
      </c>
      <c r="J102" s="26" t="s">
        <v>203</v>
      </c>
      <c r="K102" s="26" t="s">
        <v>27</v>
      </c>
      <c r="L102" s="26" t="s">
        <v>22</v>
      </c>
      <c r="M102" s="26" t="s">
        <v>496</v>
      </c>
    </row>
    <row r="103" customFormat="false" ht="23.85" hidden="false" customHeight="false" outlineLevel="0" collapsed="false">
      <c r="A103" s="25" t="s">
        <v>497</v>
      </c>
      <c r="B103" s="26" t="s">
        <v>51</v>
      </c>
      <c r="C103" s="26" t="s">
        <v>127</v>
      </c>
      <c r="D103" s="27" t="s">
        <v>498</v>
      </c>
      <c r="E103" s="26" t="s">
        <v>129</v>
      </c>
      <c r="F103" s="26" t="s">
        <v>124</v>
      </c>
      <c r="G103" s="26" t="s">
        <v>100</v>
      </c>
      <c r="H103" s="26" t="s">
        <v>79</v>
      </c>
      <c r="I103" s="26" t="s">
        <v>79</v>
      </c>
      <c r="J103" s="26" t="s">
        <v>80</v>
      </c>
      <c r="K103" s="26" t="s">
        <v>31</v>
      </c>
      <c r="L103" s="26" t="s">
        <v>18</v>
      </c>
      <c r="M103" s="26"/>
    </row>
    <row r="104" customFormat="false" ht="23.85" hidden="false" customHeight="false" outlineLevel="0" collapsed="false">
      <c r="A104" s="25" t="s">
        <v>499</v>
      </c>
      <c r="B104" s="26" t="s">
        <v>51</v>
      </c>
      <c r="C104" s="26" t="s">
        <v>500</v>
      </c>
      <c r="D104" s="27" t="s">
        <v>501</v>
      </c>
      <c r="E104" s="26" t="s">
        <v>98</v>
      </c>
      <c r="F104" s="26" t="s">
        <v>16</v>
      </c>
      <c r="G104" s="26" t="s">
        <v>100</v>
      </c>
      <c r="H104" s="26" t="s">
        <v>101</v>
      </c>
      <c r="I104" s="26" t="s">
        <v>102</v>
      </c>
      <c r="J104" s="26" t="s">
        <v>103</v>
      </c>
      <c r="K104" s="26" t="s">
        <v>31</v>
      </c>
      <c r="L104" s="26" t="s">
        <v>16</v>
      </c>
      <c r="M104" s="26"/>
    </row>
    <row r="105" customFormat="false" ht="23.85" hidden="false" customHeight="false" outlineLevel="0" collapsed="false">
      <c r="A105" s="25" t="s">
        <v>502</v>
      </c>
      <c r="B105" s="26" t="s">
        <v>52</v>
      </c>
      <c r="C105" s="26" t="s">
        <v>358</v>
      </c>
      <c r="D105" s="27" t="s">
        <v>503</v>
      </c>
      <c r="E105" s="26" t="s">
        <v>98</v>
      </c>
      <c r="F105" s="26" t="s">
        <v>504</v>
      </c>
      <c r="G105" s="26" t="s">
        <v>100</v>
      </c>
      <c r="H105" s="26" t="s">
        <v>505</v>
      </c>
      <c r="I105" s="26" t="s">
        <v>165</v>
      </c>
      <c r="J105" s="26" t="s">
        <v>166</v>
      </c>
      <c r="K105" s="26" t="s">
        <v>31</v>
      </c>
      <c r="L105" s="26" t="s">
        <v>12</v>
      </c>
      <c r="M105" s="26"/>
    </row>
    <row r="106" customFormat="false" ht="23.85" hidden="false" customHeight="false" outlineLevel="0" collapsed="false">
      <c r="A106" s="25" t="s">
        <v>506</v>
      </c>
      <c r="B106" s="26" t="s">
        <v>52</v>
      </c>
      <c r="C106" s="26" t="s">
        <v>358</v>
      </c>
      <c r="D106" s="27" t="s">
        <v>507</v>
      </c>
      <c r="E106" s="26" t="s">
        <v>98</v>
      </c>
      <c r="F106" s="26" t="s">
        <v>508</v>
      </c>
      <c r="G106" s="26" t="s">
        <v>100</v>
      </c>
      <c r="H106" s="26" t="s">
        <v>101</v>
      </c>
      <c r="I106" s="26" t="s">
        <v>165</v>
      </c>
      <c r="J106" s="26" t="s">
        <v>166</v>
      </c>
      <c r="K106" s="26" t="s">
        <v>31</v>
      </c>
      <c r="L106" s="26" t="s">
        <v>12</v>
      </c>
      <c r="M106" s="26"/>
    </row>
    <row r="107" customFormat="false" ht="23.85" hidden="false" customHeight="false" outlineLevel="0" collapsed="false">
      <c r="A107" s="25" t="s">
        <v>509</v>
      </c>
      <c r="B107" s="26" t="s">
        <v>52</v>
      </c>
      <c r="C107" s="26" t="s">
        <v>510</v>
      </c>
      <c r="D107" s="27" t="s">
        <v>511</v>
      </c>
      <c r="E107" s="26" t="s">
        <v>512</v>
      </c>
      <c r="F107" s="26" t="s">
        <v>513</v>
      </c>
      <c r="G107" s="26" t="s">
        <v>100</v>
      </c>
      <c r="H107" s="26" t="s">
        <v>101</v>
      </c>
      <c r="I107" s="26" t="s">
        <v>102</v>
      </c>
      <c r="J107" s="26" t="s">
        <v>103</v>
      </c>
      <c r="K107" s="26" t="s">
        <v>31</v>
      </c>
      <c r="L107" s="26" t="s">
        <v>18</v>
      </c>
      <c r="M107" s="26"/>
    </row>
    <row r="108" customFormat="false" ht="23.85" hidden="false" customHeight="false" outlineLevel="0" collapsed="false">
      <c r="A108" s="25" t="s">
        <v>514</v>
      </c>
      <c r="B108" s="26" t="s">
        <v>52</v>
      </c>
      <c r="C108" s="26" t="s">
        <v>515</v>
      </c>
      <c r="D108" s="27" t="s">
        <v>516</v>
      </c>
      <c r="E108" s="26" t="s">
        <v>517</v>
      </c>
      <c r="F108" s="26" t="s">
        <v>518</v>
      </c>
      <c r="G108" s="26" t="s">
        <v>100</v>
      </c>
      <c r="H108" s="26" t="s">
        <v>195</v>
      </c>
      <c r="I108" s="26" t="s">
        <v>102</v>
      </c>
      <c r="J108" s="26" t="s">
        <v>103</v>
      </c>
      <c r="K108" s="26" t="s">
        <v>31</v>
      </c>
      <c r="L108" s="26" t="s">
        <v>18</v>
      </c>
      <c r="M108" s="26" t="s">
        <v>519</v>
      </c>
    </row>
    <row r="109" customFormat="false" ht="23.85" hidden="false" customHeight="false" outlineLevel="0" collapsed="false">
      <c r="A109" s="25" t="s">
        <v>520</v>
      </c>
      <c r="B109" s="26" t="s">
        <v>52</v>
      </c>
      <c r="C109" s="26" t="s">
        <v>521</v>
      </c>
      <c r="D109" s="27" t="s">
        <v>522</v>
      </c>
      <c r="E109" s="26" t="s">
        <v>523</v>
      </c>
      <c r="F109" s="26" t="s">
        <v>524</v>
      </c>
      <c r="G109" s="26" t="s">
        <v>78</v>
      </c>
      <c r="H109" s="26" t="s">
        <v>101</v>
      </c>
      <c r="I109" s="26" t="s">
        <v>102</v>
      </c>
      <c r="J109" s="26" t="s">
        <v>103</v>
      </c>
      <c r="K109" s="26" t="s">
        <v>33</v>
      </c>
      <c r="L109" s="26" t="s">
        <v>14</v>
      </c>
      <c r="M109" s="26" t="s">
        <v>525</v>
      </c>
    </row>
    <row r="110" customFormat="false" ht="23.85" hidden="false" customHeight="false" outlineLevel="0" collapsed="false">
      <c r="A110" s="25" t="s">
        <v>526</v>
      </c>
      <c r="B110" s="26" t="s">
        <v>52</v>
      </c>
      <c r="C110" s="26" t="s">
        <v>527</v>
      </c>
      <c r="D110" s="27" t="s">
        <v>528</v>
      </c>
      <c r="E110" s="26" t="s">
        <v>76</v>
      </c>
      <c r="F110" s="26" t="s">
        <v>77</v>
      </c>
      <c r="G110" s="26" t="s">
        <v>78</v>
      </c>
      <c r="H110" s="26" t="s">
        <v>79</v>
      </c>
      <c r="I110" s="26" t="s">
        <v>79</v>
      </c>
      <c r="J110" s="26" t="s">
        <v>80</v>
      </c>
      <c r="K110" s="26" t="s">
        <v>27</v>
      </c>
      <c r="L110" s="26" t="s">
        <v>12</v>
      </c>
      <c r="M110" s="26" t="s">
        <v>529</v>
      </c>
    </row>
    <row r="111" customFormat="false" ht="23.85" hidden="false" customHeight="false" outlineLevel="0" collapsed="false">
      <c r="A111" s="25" t="s">
        <v>530</v>
      </c>
      <c r="B111" s="26" t="s">
        <v>53</v>
      </c>
      <c r="C111" s="26" t="s">
        <v>531</v>
      </c>
      <c r="D111" s="27" t="s">
        <v>532</v>
      </c>
      <c r="E111" s="26" t="s">
        <v>533</v>
      </c>
      <c r="F111" s="26" t="s">
        <v>534</v>
      </c>
      <c r="G111" s="26" t="s">
        <v>140</v>
      </c>
      <c r="H111" s="26" t="s">
        <v>535</v>
      </c>
      <c r="I111" s="26" t="s">
        <v>79</v>
      </c>
      <c r="J111" s="26" t="s">
        <v>80</v>
      </c>
      <c r="K111" s="26" t="s">
        <v>27</v>
      </c>
      <c r="L111" s="26" t="s">
        <v>14</v>
      </c>
      <c r="M111" s="26" t="s">
        <v>536</v>
      </c>
    </row>
    <row r="112" customFormat="false" ht="15" hidden="false" customHeight="false" outlineLevel="0" collapsed="false">
      <c r="A112" s="25" t="s">
        <v>537</v>
      </c>
      <c r="B112" s="26" t="s">
        <v>53</v>
      </c>
      <c r="C112" s="26" t="s">
        <v>301</v>
      </c>
      <c r="D112" s="27" t="s">
        <v>538</v>
      </c>
      <c r="E112" s="26" t="s">
        <v>539</v>
      </c>
      <c r="F112" s="26" t="s">
        <v>540</v>
      </c>
      <c r="G112" s="26" t="s">
        <v>140</v>
      </c>
      <c r="H112" s="26" t="s">
        <v>304</v>
      </c>
      <c r="I112" s="26" t="s">
        <v>86</v>
      </c>
      <c r="J112" s="26" t="s">
        <v>87</v>
      </c>
      <c r="K112" s="26" t="s">
        <v>31</v>
      </c>
      <c r="L112" s="26" t="s">
        <v>14</v>
      </c>
      <c r="M112" s="26" t="s">
        <v>541</v>
      </c>
    </row>
    <row r="113" customFormat="false" ht="15" hidden="false" customHeight="false" outlineLevel="0" collapsed="false">
      <c r="A113" s="25" t="s">
        <v>542</v>
      </c>
      <c r="B113" s="26" t="s">
        <v>53</v>
      </c>
      <c r="C113" s="26" t="s">
        <v>301</v>
      </c>
      <c r="D113" s="27" t="s">
        <v>543</v>
      </c>
      <c r="E113" s="26" t="s">
        <v>291</v>
      </c>
      <c r="F113" s="26" t="s">
        <v>544</v>
      </c>
      <c r="G113" s="26" t="s">
        <v>140</v>
      </c>
      <c r="H113" s="26" t="s">
        <v>304</v>
      </c>
      <c r="I113" s="26" t="s">
        <v>86</v>
      </c>
      <c r="J113" s="26" t="s">
        <v>87</v>
      </c>
      <c r="K113" s="26" t="s">
        <v>31</v>
      </c>
      <c r="L113" s="26" t="s">
        <v>14</v>
      </c>
      <c r="M113" s="26"/>
    </row>
    <row r="114" customFormat="false" ht="15" hidden="false" customHeight="false" outlineLevel="0" collapsed="false">
      <c r="A114" s="25" t="s">
        <v>545</v>
      </c>
      <c r="B114" s="26" t="s">
        <v>53</v>
      </c>
      <c r="C114" s="26" t="s">
        <v>546</v>
      </c>
      <c r="D114" s="27" t="s">
        <v>547</v>
      </c>
      <c r="E114" s="26" t="s">
        <v>548</v>
      </c>
      <c r="F114" s="26" t="s">
        <v>549</v>
      </c>
      <c r="G114" s="26" t="s">
        <v>140</v>
      </c>
      <c r="H114" s="26" t="s">
        <v>335</v>
      </c>
      <c r="I114" s="26" t="s">
        <v>86</v>
      </c>
      <c r="J114" s="26" t="s">
        <v>87</v>
      </c>
      <c r="K114" s="26" t="s">
        <v>31</v>
      </c>
      <c r="L114" s="26" t="s">
        <v>14</v>
      </c>
      <c r="M114" s="26" t="s">
        <v>550</v>
      </c>
    </row>
    <row r="115" customFormat="false" ht="15" hidden="false" customHeight="false" outlineLevel="0" collapsed="false">
      <c r="A115" s="25" t="s">
        <v>551</v>
      </c>
      <c r="B115" s="26" t="s">
        <v>53</v>
      </c>
      <c r="C115" s="26" t="s">
        <v>546</v>
      </c>
      <c r="D115" s="27" t="s">
        <v>552</v>
      </c>
      <c r="E115" s="26" t="s">
        <v>553</v>
      </c>
      <c r="F115" s="26" t="s">
        <v>124</v>
      </c>
      <c r="G115" s="26" t="s">
        <v>140</v>
      </c>
      <c r="H115" s="26" t="s">
        <v>335</v>
      </c>
      <c r="I115" s="26" t="s">
        <v>86</v>
      </c>
      <c r="J115" s="26" t="s">
        <v>87</v>
      </c>
      <c r="K115" s="26" t="s">
        <v>31</v>
      </c>
      <c r="L115" s="26" t="s">
        <v>20</v>
      </c>
      <c r="M115" s="26" t="s">
        <v>554</v>
      </c>
    </row>
    <row r="116" customFormat="false" ht="23.85" hidden="false" customHeight="false" outlineLevel="0" collapsed="false">
      <c r="A116" s="25" t="s">
        <v>555</v>
      </c>
      <c r="B116" s="26" t="s">
        <v>53</v>
      </c>
      <c r="C116" s="26" t="s">
        <v>102</v>
      </c>
      <c r="D116" s="27" t="s">
        <v>556</v>
      </c>
      <c r="E116" s="26" t="s">
        <v>557</v>
      </c>
      <c r="F116" s="26" t="s">
        <v>558</v>
      </c>
      <c r="G116" s="26" t="s">
        <v>140</v>
      </c>
      <c r="H116" s="26" t="s">
        <v>101</v>
      </c>
      <c r="I116" s="26" t="s">
        <v>102</v>
      </c>
      <c r="J116" s="26" t="s">
        <v>103</v>
      </c>
      <c r="K116" s="26" t="s">
        <v>33</v>
      </c>
      <c r="L116" s="26" t="s">
        <v>18</v>
      </c>
      <c r="M116" s="26" t="s">
        <v>559</v>
      </c>
    </row>
    <row r="117" customFormat="false" ht="15" hidden="false" customHeight="false" outlineLevel="0" collapsed="false">
      <c r="A117" s="25" t="s">
        <v>560</v>
      </c>
      <c r="B117" s="26" t="s">
        <v>54</v>
      </c>
      <c r="C117" s="26" t="s">
        <v>561</v>
      </c>
      <c r="D117" s="27" t="s">
        <v>562</v>
      </c>
      <c r="E117" s="26" t="s">
        <v>563</v>
      </c>
      <c r="F117" s="26" t="s">
        <v>564</v>
      </c>
      <c r="G117" s="26" t="s">
        <v>140</v>
      </c>
      <c r="H117" s="26" t="s">
        <v>342</v>
      </c>
      <c r="I117" s="26" t="s">
        <v>336</v>
      </c>
      <c r="J117" s="26" t="s">
        <v>124</v>
      </c>
      <c r="K117" s="26" t="s">
        <v>31</v>
      </c>
      <c r="L117" s="26" t="s">
        <v>14</v>
      </c>
      <c r="M117" s="26"/>
    </row>
    <row r="118" customFormat="false" ht="15" hidden="false" customHeight="false" outlineLevel="0" collapsed="false">
      <c r="A118" s="25" t="s">
        <v>565</v>
      </c>
      <c r="B118" s="26" t="s">
        <v>54</v>
      </c>
      <c r="C118" s="26" t="s">
        <v>561</v>
      </c>
      <c r="D118" s="27" t="s">
        <v>566</v>
      </c>
      <c r="E118" s="26" t="s">
        <v>567</v>
      </c>
      <c r="F118" s="26" t="s">
        <v>568</v>
      </c>
      <c r="G118" s="26" t="s">
        <v>140</v>
      </c>
      <c r="H118" s="26" t="s">
        <v>342</v>
      </c>
      <c r="I118" s="26" t="s">
        <v>336</v>
      </c>
      <c r="J118" s="26" t="s">
        <v>124</v>
      </c>
      <c r="K118" s="26" t="s">
        <v>31</v>
      </c>
      <c r="L118" s="26" t="s">
        <v>14</v>
      </c>
      <c r="M118" s="26"/>
    </row>
    <row r="119" customFormat="false" ht="15" hidden="false" customHeight="false" outlineLevel="0" collapsed="false">
      <c r="A119" s="25" t="s">
        <v>569</v>
      </c>
      <c r="B119" s="26" t="s">
        <v>54</v>
      </c>
      <c r="C119" s="26" t="s">
        <v>570</v>
      </c>
      <c r="D119" s="27" t="s">
        <v>571</v>
      </c>
      <c r="E119" s="26" t="s">
        <v>572</v>
      </c>
      <c r="F119" s="26" t="s">
        <v>573</v>
      </c>
      <c r="G119" s="26" t="s">
        <v>574</v>
      </c>
      <c r="H119" s="26" t="s">
        <v>575</v>
      </c>
      <c r="I119" s="26" t="s">
        <v>336</v>
      </c>
      <c r="J119" s="26" t="s">
        <v>124</v>
      </c>
      <c r="K119" s="26" t="s">
        <v>31</v>
      </c>
      <c r="L119" s="26" t="s">
        <v>14</v>
      </c>
      <c r="M119" s="26"/>
    </row>
    <row r="120" customFormat="false" ht="23.85" hidden="false" customHeight="false" outlineLevel="0" collapsed="false">
      <c r="A120" s="25" t="s">
        <v>576</v>
      </c>
      <c r="B120" s="26" t="s">
        <v>54</v>
      </c>
      <c r="C120" s="26" t="s">
        <v>577</v>
      </c>
      <c r="D120" s="27" t="s">
        <v>578</v>
      </c>
      <c r="E120" s="26" t="s">
        <v>579</v>
      </c>
      <c r="F120" s="26" t="s">
        <v>24</v>
      </c>
      <c r="G120" s="26" t="s">
        <v>100</v>
      </c>
      <c r="H120" s="26" t="s">
        <v>85</v>
      </c>
      <c r="I120" s="26" t="s">
        <v>86</v>
      </c>
      <c r="J120" s="26" t="s">
        <v>87</v>
      </c>
      <c r="K120" s="26" t="s">
        <v>31</v>
      </c>
      <c r="L120" s="26" t="s">
        <v>24</v>
      </c>
      <c r="M120" s="26" t="s">
        <v>580</v>
      </c>
    </row>
    <row r="121" customFormat="false" ht="23.85" hidden="false" customHeight="false" outlineLevel="0" collapsed="false">
      <c r="A121" s="25" t="s">
        <v>581</v>
      </c>
      <c r="B121" s="26" t="s">
        <v>55</v>
      </c>
      <c r="C121" s="26" t="s">
        <v>582</v>
      </c>
      <c r="D121" s="27" t="s">
        <v>583</v>
      </c>
      <c r="E121" s="26" t="s">
        <v>200</v>
      </c>
      <c r="F121" s="26" t="s">
        <v>584</v>
      </c>
      <c r="G121" s="26" t="s">
        <v>585</v>
      </c>
      <c r="H121" s="26" t="s">
        <v>586</v>
      </c>
      <c r="I121" s="26" t="s">
        <v>22</v>
      </c>
      <c r="J121" s="26" t="s">
        <v>203</v>
      </c>
      <c r="K121" s="26" t="s">
        <v>27</v>
      </c>
      <c r="L121" s="26" t="s">
        <v>22</v>
      </c>
      <c r="M121" s="26" t="s">
        <v>587</v>
      </c>
    </row>
    <row r="122" customFormat="false" ht="23.85" hidden="false" customHeight="false" outlineLevel="0" collapsed="false">
      <c r="A122" s="25" t="s">
        <v>588</v>
      </c>
      <c r="B122" s="26" t="s">
        <v>55</v>
      </c>
      <c r="C122" s="26" t="s">
        <v>589</v>
      </c>
      <c r="D122" s="27" t="s">
        <v>590</v>
      </c>
      <c r="E122" s="26" t="s">
        <v>200</v>
      </c>
      <c r="F122" s="26" t="s">
        <v>591</v>
      </c>
      <c r="G122" s="26" t="s">
        <v>148</v>
      </c>
      <c r="H122" s="26" t="s">
        <v>304</v>
      </c>
      <c r="I122" s="26" t="s">
        <v>22</v>
      </c>
      <c r="J122" s="26" t="s">
        <v>203</v>
      </c>
      <c r="K122" s="26" t="s">
        <v>27</v>
      </c>
      <c r="L122" s="26" t="s">
        <v>22</v>
      </c>
      <c r="M122" s="26" t="s">
        <v>592</v>
      </c>
    </row>
    <row r="123" customFormat="false" ht="15" hidden="false" customHeight="false" outlineLevel="0" collapsed="false">
      <c r="A123" s="25" t="s">
        <v>593</v>
      </c>
      <c r="B123" s="26" t="s">
        <v>55</v>
      </c>
      <c r="C123" s="26" t="s">
        <v>589</v>
      </c>
      <c r="D123" s="27" t="s">
        <v>594</v>
      </c>
      <c r="E123" s="26" t="s">
        <v>200</v>
      </c>
      <c r="F123" s="26" t="s">
        <v>595</v>
      </c>
      <c r="G123" s="26" t="s">
        <v>140</v>
      </c>
      <c r="H123" s="26" t="s">
        <v>202</v>
      </c>
      <c r="I123" s="26" t="s">
        <v>22</v>
      </c>
      <c r="J123" s="26" t="s">
        <v>203</v>
      </c>
      <c r="K123" s="26" t="s">
        <v>27</v>
      </c>
      <c r="L123" s="26" t="s">
        <v>22</v>
      </c>
      <c r="M123" s="26"/>
    </row>
    <row r="124" customFormat="false" ht="15" hidden="false" customHeight="false" outlineLevel="0" collapsed="false">
      <c r="A124" s="25" t="s">
        <v>596</v>
      </c>
      <c r="B124" s="26" t="s">
        <v>55</v>
      </c>
      <c r="C124" s="26" t="s">
        <v>589</v>
      </c>
      <c r="D124" s="27" t="s">
        <v>597</v>
      </c>
      <c r="E124" s="26" t="s">
        <v>598</v>
      </c>
      <c r="F124" s="26" t="s">
        <v>599</v>
      </c>
      <c r="G124" s="26" t="s">
        <v>78</v>
      </c>
      <c r="H124" s="26" t="s">
        <v>85</v>
      </c>
      <c r="I124" s="26" t="s">
        <v>86</v>
      </c>
      <c r="J124" s="26" t="s">
        <v>87</v>
      </c>
      <c r="K124" s="26" t="s">
        <v>31</v>
      </c>
      <c r="L124" s="26" t="s">
        <v>24</v>
      </c>
      <c r="M124" s="26"/>
    </row>
    <row r="125" customFormat="false" ht="15" hidden="false" customHeight="false" outlineLevel="0" collapsed="false">
      <c r="A125" s="25" t="s">
        <v>600</v>
      </c>
      <c r="B125" s="26" t="s">
        <v>55</v>
      </c>
      <c r="C125" s="26" t="s">
        <v>601</v>
      </c>
      <c r="D125" s="27" t="s">
        <v>602</v>
      </c>
      <c r="E125" s="26" t="s">
        <v>200</v>
      </c>
      <c r="F125" s="26" t="s">
        <v>603</v>
      </c>
      <c r="G125" s="26" t="s">
        <v>100</v>
      </c>
      <c r="H125" s="26" t="s">
        <v>304</v>
      </c>
      <c r="I125" s="26" t="s">
        <v>22</v>
      </c>
      <c r="J125" s="26" t="s">
        <v>203</v>
      </c>
      <c r="K125" s="26" t="s">
        <v>31</v>
      </c>
      <c r="L125" s="26" t="s">
        <v>22</v>
      </c>
      <c r="M125" s="26"/>
    </row>
    <row r="126" customFormat="false" ht="15" hidden="false" customHeight="false" outlineLevel="0" collapsed="false">
      <c r="A126" s="25" t="s">
        <v>604</v>
      </c>
      <c r="B126" s="26" t="s">
        <v>55</v>
      </c>
      <c r="C126" s="26" t="s">
        <v>601</v>
      </c>
      <c r="D126" s="27" t="s">
        <v>605</v>
      </c>
      <c r="E126" s="26" t="s">
        <v>200</v>
      </c>
      <c r="F126" s="26" t="s">
        <v>606</v>
      </c>
      <c r="G126" s="26" t="s">
        <v>78</v>
      </c>
      <c r="H126" s="26" t="s">
        <v>85</v>
      </c>
      <c r="I126" s="26" t="s">
        <v>22</v>
      </c>
      <c r="J126" s="26" t="s">
        <v>203</v>
      </c>
      <c r="K126" s="26" t="s">
        <v>31</v>
      </c>
      <c r="L126" s="26" t="s">
        <v>22</v>
      </c>
      <c r="M126" s="26" t="s">
        <v>607</v>
      </c>
    </row>
    <row r="127" customFormat="false" ht="15" hidden="false" customHeight="false" outlineLevel="0" collapsed="false">
      <c r="A127" s="25" t="s">
        <v>608</v>
      </c>
      <c r="B127" s="26" t="s">
        <v>55</v>
      </c>
      <c r="C127" s="26" t="s">
        <v>601</v>
      </c>
      <c r="D127" s="27" t="s">
        <v>609</v>
      </c>
      <c r="E127" s="26" t="s">
        <v>610</v>
      </c>
      <c r="F127" s="26" t="s">
        <v>611</v>
      </c>
      <c r="G127" s="26" t="s">
        <v>78</v>
      </c>
      <c r="H127" s="26" t="s">
        <v>85</v>
      </c>
      <c r="I127" s="26" t="s">
        <v>22</v>
      </c>
      <c r="J127" s="26" t="s">
        <v>203</v>
      </c>
      <c r="K127" s="26" t="s">
        <v>31</v>
      </c>
      <c r="L127" s="26" t="s">
        <v>22</v>
      </c>
      <c r="M127" s="26"/>
    </row>
    <row r="128" customFormat="false" ht="23.85" hidden="false" customHeight="false" outlineLevel="0" collapsed="false">
      <c r="A128" s="25" t="s">
        <v>612</v>
      </c>
      <c r="B128" s="26" t="s">
        <v>55</v>
      </c>
      <c r="C128" s="26" t="s">
        <v>331</v>
      </c>
      <c r="D128" s="27" t="s">
        <v>613</v>
      </c>
      <c r="E128" s="26" t="s">
        <v>614</v>
      </c>
      <c r="F128" s="26" t="s">
        <v>24</v>
      </c>
      <c r="G128" s="26" t="s">
        <v>334</v>
      </c>
      <c r="H128" s="26" t="s">
        <v>124</v>
      </c>
      <c r="I128" s="26" t="s">
        <v>336</v>
      </c>
      <c r="J128" s="26" t="s">
        <v>124</v>
      </c>
      <c r="K128" s="26" t="s">
        <v>31</v>
      </c>
      <c r="L128" s="26" t="s">
        <v>24</v>
      </c>
      <c r="M128" s="26"/>
    </row>
    <row r="129" customFormat="false" ht="15" hidden="false" customHeight="false" outlineLevel="0" collapsed="false">
      <c r="A129" s="25" t="s">
        <v>615</v>
      </c>
      <c r="B129" s="26" t="s">
        <v>55</v>
      </c>
      <c r="C129" s="26" t="s">
        <v>331</v>
      </c>
      <c r="D129" s="27" t="s">
        <v>616</v>
      </c>
      <c r="E129" s="26" t="s">
        <v>617</v>
      </c>
      <c r="F129" s="26" t="s">
        <v>618</v>
      </c>
      <c r="G129" s="26" t="s">
        <v>619</v>
      </c>
      <c r="H129" s="26" t="s">
        <v>620</v>
      </c>
      <c r="I129" s="26" t="s">
        <v>22</v>
      </c>
      <c r="J129" s="26" t="s">
        <v>203</v>
      </c>
      <c r="K129" s="26" t="s">
        <v>33</v>
      </c>
      <c r="L129" s="26" t="s">
        <v>22</v>
      </c>
      <c r="M129" s="26" t="s">
        <v>621</v>
      </c>
    </row>
    <row r="130" customFormat="false" ht="15" hidden="false" customHeight="false" outlineLevel="0" collapsed="false">
      <c r="A130" s="25" t="s">
        <v>622</v>
      </c>
      <c r="B130" s="26" t="s">
        <v>55</v>
      </c>
      <c r="C130" s="26" t="s">
        <v>623</v>
      </c>
      <c r="D130" s="27" t="s">
        <v>624</v>
      </c>
      <c r="E130" s="26" t="s">
        <v>200</v>
      </c>
      <c r="F130" s="26" t="s">
        <v>625</v>
      </c>
      <c r="G130" s="26" t="s">
        <v>124</v>
      </c>
      <c r="H130" s="26" t="s">
        <v>124</v>
      </c>
      <c r="I130" s="26" t="s">
        <v>22</v>
      </c>
      <c r="J130" s="26" t="s">
        <v>203</v>
      </c>
      <c r="K130" s="26" t="s">
        <v>31</v>
      </c>
      <c r="L130" s="26" t="s">
        <v>22</v>
      </c>
      <c r="M130" s="26"/>
    </row>
  </sheetData>
  <autoFilter ref="A5:M130"/>
  <conditionalFormatting sqref="L6:L330">
    <cfRule type="expression" priority="2" aboveAverage="0" equalAverage="0" bottom="0" percent="0" rank="0" text="" dxfId="11">
      <formula>$L6="Verificado"</formula>
    </cfRule>
    <cfRule type="expression" priority="3" aboveAverage="0" equalAverage="0" bottom="0" percent="0" rank="0" text="" dxfId="12">
      <formula>$L6="Confirmar"</formula>
    </cfRule>
    <cfRule type="expression" priority="4" aboveAverage="0" equalAverage="0" bottom="0" percent="0" rank="0" text="" dxfId="13">
      <formula>$L6="A mapear"</formula>
    </cfRule>
    <cfRule type="expression" priority="5" aboveAverage="0" equalAverage="0" bottom="0" percent="0" rank="0" text="" dxfId="14">
      <formula>$L6="Sem API"</formula>
    </cfRule>
    <cfRule type="expression" priority="6" aboveAverage="0" equalAverage="0" bottom="0" percent="0" rank="0" text="" dxfId="15">
      <formula>$L6="Pago"</formula>
    </cfRule>
    <cfRule type="expression" priority="7" aboveAverage="0" equalAverage="0" bottom="0" percent="0" rank="0" text="" dxfId="16">
      <formula>$L6="Derivado"</formula>
    </cfRule>
    <cfRule type="expression" priority="8" aboveAverage="0" equalAverage="0" bottom="0" percent="0" rank="0" text="" dxfId="17">
      <formula>$L6="Curado"</formula>
    </cfRule>
  </conditionalFormatting>
  <conditionalFormatting sqref="K6:K330">
    <cfRule type="expression" priority="9" aboveAverage="0" equalAverage="0" bottom="0" percent="0" rank="0" text="" dxfId="18">
      <formula>$K6="MVP"</formula>
    </cfRule>
  </conditionalFormatting>
  <dataValidations count="2">
    <dataValidation allowBlank="true" errorStyle="stop" operator="between" showDropDown="false" showErrorMessage="false" showInputMessage="false" sqref="K6:K330" type="list">
      <formula1>"MVP,EUA,v2,v3"</formula1>
      <formula2>0</formula2>
    </dataValidation>
    <dataValidation allowBlank="true" errorStyle="stop" operator="between" showDropDown="false" showErrorMessage="false" showInputMessage="false" sqref="L6:L330" type="list">
      <formula1>"Verificado,Confirmar,A mapear,Sem API,Pago,Derivado,Curado"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" t="s">
        <v>626</v>
      </c>
    </row>
    <row r="2" customFormat="false" ht="15" hidden="false" customHeight="false" outlineLevel="0" collapsed="false">
      <c r="A2" s="2" t="s">
        <v>627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7.75" hidden="false" customHeight="true" outlineLevel="0" collapsed="false">
      <c r="A5" s="24" t="s">
        <v>64</v>
      </c>
      <c r="B5" s="24" t="s">
        <v>42</v>
      </c>
      <c r="C5" s="24" t="s">
        <v>65</v>
      </c>
      <c r="D5" s="24" t="s">
        <v>66</v>
      </c>
      <c r="E5" s="24" t="s">
        <v>67</v>
      </c>
      <c r="F5" s="24" t="s">
        <v>68</v>
      </c>
      <c r="G5" s="24" t="s">
        <v>69</v>
      </c>
      <c r="H5" s="24" t="s">
        <v>70</v>
      </c>
      <c r="I5" s="24" t="s">
        <v>35</v>
      </c>
      <c r="J5" s="24" t="s">
        <v>71</v>
      </c>
      <c r="K5" s="24" t="s">
        <v>26</v>
      </c>
      <c r="L5" s="24" t="s">
        <v>11</v>
      </c>
      <c r="M5" s="24" t="s">
        <v>72</v>
      </c>
    </row>
    <row r="6" customFormat="false" ht="23.85" hidden="false" customHeight="false" outlineLevel="0" collapsed="false">
      <c r="A6" s="25" t="s">
        <v>628</v>
      </c>
      <c r="B6" s="26" t="s">
        <v>46</v>
      </c>
      <c r="C6" s="26" t="s">
        <v>629</v>
      </c>
      <c r="D6" s="27" t="s">
        <v>630</v>
      </c>
      <c r="E6" s="26" t="s">
        <v>631</v>
      </c>
      <c r="F6" s="26" t="s">
        <v>632</v>
      </c>
      <c r="G6" s="26" t="s">
        <v>100</v>
      </c>
      <c r="H6" s="26" t="s">
        <v>633</v>
      </c>
      <c r="I6" s="26" t="s">
        <v>165</v>
      </c>
      <c r="J6" s="26" t="s">
        <v>166</v>
      </c>
      <c r="K6" s="26" t="s">
        <v>29</v>
      </c>
      <c r="L6" s="26" t="s">
        <v>14</v>
      </c>
      <c r="M6" s="26"/>
    </row>
    <row r="7" customFormat="false" ht="15" hidden="false" customHeight="false" outlineLevel="0" collapsed="false">
      <c r="A7" s="25" t="s">
        <v>634</v>
      </c>
      <c r="B7" s="26" t="s">
        <v>46</v>
      </c>
      <c r="C7" s="26" t="s">
        <v>635</v>
      </c>
      <c r="D7" s="27" t="s">
        <v>636</v>
      </c>
      <c r="E7" s="26" t="s">
        <v>631</v>
      </c>
      <c r="F7" s="26" t="s">
        <v>637</v>
      </c>
      <c r="G7" s="26" t="s">
        <v>100</v>
      </c>
      <c r="H7" s="26" t="s">
        <v>85</v>
      </c>
      <c r="I7" s="26" t="s">
        <v>86</v>
      </c>
      <c r="J7" s="26" t="s">
        <v>87</v>
      </c>
      <c r="K7" s="26" t="s">
        <v>29</v>
      </c>
      <c r="L7" s="26" t="s">
        <v>14</v>
      </c>
      <c r="M7" s="26"/>
    </row>
    <row r="8" customFormat="false" ht="15" hidden="false" customHeight="false" outlineLevel="0" collapsed="false">
      <c r="A8" s="25" t="s">
        <v>638</v>
      </c>
      <c r="B8" s="26" t="s">
        <v>46</v>
      </c>
      <c r="C8" s="26" t="s">
        <v>635</v>
      </c>
      <c r="D8" s="27" t="s">
        <v>639</v>
      </c>
      <c r="E8" s="26" t="s">
        <v>631</v>
      </c>
      <c r="F8" s="26" t="s">
        <v>640</v>
      </c>
      <c r="G8" s="26" t="s">
        <v>100</v>
      </c>
      <c r="H8" s="26" t="s">
        <v>85</v>
      </c>
      <c r="I8" s="26" t="s">
        <v>86</v>
      </c>
      <c r="J8" s="26" t="s">
        <v>87</v>
      </c>
      <c r="K8" s="26" t="s">
        <v>29</v>
      </c>
      <c r="L8" s="26" t="s">
        <v>14</v>
      </c>
      <c r="M8" s="26"/>
    </row>
    <row r="9" customFormat="false" ht="15" hidden="false" customHeight="false" outlineLevel="0" collapsed="false">
      <c r="A9" s="25" t="s">
        <v>641</v>
      </c>
      <c r="B9" s="26" t="s">
        <v>46</v>
      </c>
      <c r="C9" s="26" t="s">
        <v>642</v>
      </c>
      <c r="D9" s="27" t="s">
        <v>643</v>
      </c>
      <c r="E9" s="26" t="s">
        <v>631</v>
      </c>
      <c r="F9" s="26" t="s">
        <v>644</v>
      </c>
      <c r="G9" s="26" t="s">
        <v>100</v>
      </c>
      <c r="H9" s="26" t="s">
        <v>85</v>
      </c>
      <c r="I9" s="26" t="s">
        <v>86</v>
      </c>
      <c r="J9" s="26" t="s">
        <v>87</v>
      </c>
      <c r="K9" s="26" t="s">
        <v>29</v>
      </c>
      <c r="L9" s="26" t="s">
        <v>14</v>
      </c>
      <c r="M9" s="26"/>
    </row>
    <row r="10" customFormat="false" ht="15" hidden="false" customHeight="false" outlineLevel="0" collapsed="false">
      <c r="A10" s="25" t="s">
        <v>645</v>
      </c>
      <c r="B10" s="26" t="s">
        <v>46</v>
      </c>
      <c r="C10" s="26" t="s">
        <v>646</v>
      </c>
      <c r="D10" s="27" t="s">
        <v>647</v>
      </c>
      <c r="E10" s="26" t="s">
        <v>200</v>
      </c>
      <c r="F10" s="26" t="s">
        <v>648</v>
      </c>
      <c r="G10" s="26" t="s">
        <v>100</v>
      </c>
      <c r="H10" s="26" t="s">
        <v>649</v>
      </c>
      <c r="I10" s="26" t="s">
        <v>22</v>
      </c>
      <c r="J10" s="26" t="s">
        <v>203</v>
      </c>
      <c r="K10" s="26" t="s">
        <v>29</v>
      </c>
      <c r="L10" s="26" t="s">
        <v>22</v>
      </c>
      <c r="M10" s="26"/>
    </row>
    <row r="11" customFormat="false" ht="23.85" hidden="false" customHeight="false" outlineLevel="0" collapsed="false">
      <c r="A11" s="25" t="s">
        <v>650</v>
      </c>
      <c r="B11" s="26" t="s">
        <v>46</v>
      </c>
      <c r="C11" s="26" t="s">
        <v>646</v>
      </c>
      <c r="D11" s="27" t="s">
        <v>651</v>
      </c>
      <c r="E11" s="26" t="s">
        <v>631</v>
      </c>
      <c r="F11" s="26" t="s">
        <v>652</v>
      </c>
      <c r="G11" s="26" t="s">
        <v>100</v>
      </c>
      <c r="H11" s="26" t="s">
        <v>633</v>
      </c>
      <c r="I11" s="26" t="s">
        <v>102</v>
      </c>
      <c r="J11" s="26" t="s">
        <v>103</v>
      </c>
      <c r="K11" s="26" t="s">
        <v>29</v>
      </c>
      <c r="L11" s="26" t="s">
        <v>14</v>
      </c>
      <c r="M11" s="26"/>
    </row>
    <row r="12" customFormat="false" ht="23.85" hidden="false" customHeight="false" outlineLevel="0" collapsed="false">
      <c r="A12" s="25" t="s">
        <v>653</v>
      </c>
      <c r="B12" s="26" t="s">
        <v>46</v>
      </c>
      <c r="C12" s="26" t="s">
        <v>654</v>
      </c>
      <c r="D12" s="27" t="s">
        <v>655</v>
      </c>
      <c r="E12" s="26" t="s">
        <v>656</v>
      </c>
      <c r="F12" s="26" t="s">
        <v>657</v>
      </c>
      <c r="G12" s="26" t="s">
        <v>148</v>
      </c>
      <c r="H12" s="26" t="s">
        <v>633</v>
      </c>
      <c r="I12" s="26" t="s">
        <v>102</v>
      </c>
      <c r="J12" s="26" t="s">
        <v>103</v>
      </c>
      <c r="K12" s="26" t="s">
        <v>29</v>
      </c>
      <c r="L12" s="26" t="s">
        <v>14</v>
      </c>
      <c r="M12" s="26"/>
    </row>
    <row r="13" customFormat="false" ht="15" hidden="false" customHeight="false" outlineLevel="0" collapsed="false">
      <c r="A13" s="25" t="s">
        <v>658</v>
      </c>
      <c r="B13" s="26" t="s">
        <v>46</v>
      </c>
      <c r="C13" s="26" t="s">
        <v>659</v>
      </c>
      <c r="D13" s="27" t="s">
        <v>660</v>
      </c>
      <c r="E13" s="26" t="s">
        <v>661</v>
      </c>
      <c r="F13" s="26" t="s">
        <v>124</v>
      </c>
      <c r="G13" s="26" t="s">
        <v>100</v>
      </c>
      <c r="H13" s="26" t="s">
        <v>85</v>
      </c>
      <c r="I13" s="26" t="s">
        <v>86</v>
      </c>
      <c r="J13" s="26" t="s">
        <v>87</v>
      </c>
      <c r="K13" s="26" t="s">
        <v>31</v>
      </c>
      <c r="L13" s="26" t="s">
        <v>20</v>
      </c>
      <c r="M13" s="26" t="s">
        <v>662</v>
      </c>
    </row>
    <row r="14" customFormat="false" ht="15" hidden="false" customHeight="false" outlineLevel="0" collapsed="false">
      <c r="A14" s="25" t="s">
        <v>663</v>
      </c>
      <c r="B14" s="26" t="s">
        <v>46</v>
      </c>
      <c r="C14" s="26" t="s">
        <v>659</v>
      </c>
      <c r="D14" s="27" t="s">
        <v>664</v>
      </c>
      <c r="E14" s="26" t="s">
        <v>665</v>
      </c>
      <c r="F14" s="26" t="s">
        <v>666</v>
      </c>
      <c r="G14" s="26" t="s">
        <v>100</v>
      </c>
      <c r="H14" s="26" t="s">
        <v>85</v>
      </c>
      <c r="I14" s="26" t="s">
        <v>86</v>
      </c>
      <c r="J14" s="26" t="s">
        <v>87</v>
      </c>
      <c r="K14" s="26" t="s">
        <v>31</v>
      </c>
      <c r="L14" s="26" t="s">
        <v>18</v>
      </c>
      <c r="M14" s="26"/>
    </row>
    <row r="15" customFormat="false" ht="15" hidden="false" customHeight="false" outlineLevel="0" collapsed="false">
      <c r="A15" s="25" t="s">
        <v>667</v>
      </c>
      <c r="B15" s="26" t="s">
        <v>46</v>
      </c>
      <c r="C15" s="26" t="s">
        <v>198</v>
      </c>
      <c r="D15" s="27" t="s">
        <v>668</v>
      </c>
      <c r="E15" s="26" t="s">
        <v>200</v>
      </c>
      <c r="F15" s="26" t="s">
        <v>669</v>
      </c>
      <c r="G15" s="26" t="s">
        <v>100</v>
      </c>
      <c r="H15" s="26" t="s">
        <v>85</v>
      </c>
      <c r="I15" s="26" t="s">
        <v>22</v>
      </c>
      <c r="J15" s="26" t="s">
        <v>203</v>
      </c>
      <c r="K15" s="26" t="s">
        <v>29</v>
      </c>
      <c r="L15" s="26" t="s">
        <v>22</v>
      </c>
      <c r="M15" s="26"/>
    </row>
    <row r="16" customFormat="false" ht="23.85" hidden="false" customHeight="false" outlineLevel="0" collapsed="false">
      <c r="A16" s="25" t="s">
        <v>670</v>
      </c>
      <c r="B16" s="26" t="s">
        <v>46</v>
      </c>
      <c r="C16" s="26" t="s">
        <v>671</v>
      </c>
      <c r="D16" s="27" t="s">
        <v>672</v>
      </c>
      <c r="E16" s="26" t="s">
        <v>631</v>
      </c>
      <c r="F16" s="26" t="s">
        <v>673</v>
      </c>
      <c r="G16" s="26" t="s">
        <v>78</v>
      </c>
      <c r="H16" s="26" t="s">
        <v>79</v>
      </c>
      <c r="I16" s="26" t="s">
        <v>79</v>
      </c>
      <c r="J16" s="26" t="s">
        <v>80</v>
      </c>
      <c r="K16" s="26" t="s">
        <v>29</v>
      </c>
      <c r="L16" s="26" t="s">
        <v>14</v>
      </c>
      <c r="M16" s="26"/>
    </row>
    <row r="17" customFormat="false" ht="23.85" hidden="false" customHeight="false" outlineLevel="0" collapsed="false">
      <c r="A17" s="25" t="s">
        <v>674</v>
      </c>
      <c r="B17" s="26" t="s">
        <v>46</v>
      </c>
      <c r="C17" s="26" t="s">
        <v>671</v>
      </c>
      <c r="D17" s="27" t="s">
        <v>675</v>
      </c>
      <c r="E17" s="26" t="s">
        <v>631</v>
      </c>
      <c r="F17" s="26" t="s">
        <v>676</v>
      </c>
      <c r="G17" s="26" t="s">
        <v>100</v>
      </c>
      <c r="H17" s="26" t="s">
        <v>467</v>
      </c>
      <c r="I17" s="26" t="s">
        <v>79</v>
      </c>
      <c r="J17" s="26" t="s">
        <v>80</v>
      </c>
      <c r="K17" s="26" t="s">
        <v>29</v>
      </c>
      <c r="L17" s="26" t="s">
        <v>14</v>
      </c>
      <c r="M17" s="26"/>
    </row>
    <row r="18" customFormat="false" ht="15" hidden="false" customHeight="false" outlineLevel="0" collapsed="false">
      <c r="A18" s="25" t="s">
        <v>677</v>
      </c>
      <c r="B18" s="26" t="s">
        <v>46</v>
      </c>
      <c r="C18" s="26" t="s">
        <v>671</v>
      </c>
      <c r="D18" s="27" t="s">
        <v>678</v>
      </c>
      <c r="E18" s="26" t="s">
        <v>200</v>
      </c>
      <c r="F18" s="26" t="s">
        <v>679</v>
      </c>
      <c r="G18" s="26" t="s">
        <v>100</v>
      </c>
      <c r="H18" s="26" t="s">
        <v>85</v>
      </c>
      <c r="I18" s="26" t="s">
        <v>22</v>
      </c>
      <c r="J18" s="26" t="s">
        <v>203</v>
      </c>
      <c r="K18" s="26" t="s">
        <v>29</v>
      </c>
      <c r="L18" s="26" t="s">
        <v>22</v>
      </c>
      <c r="M18" s="26"/>
    </row>
    <row r="19" customFormat="false" ht="15" hidden="false" customHeight="false" outlineLevel="0" collapsed="false">
      <c r="A19" s="25" t="s">
        <v>680</v>
      </c>
      <c r="B19" s="26" t="s">
        <v>46</v>
      </c>
      <c r="C19" s="26" t="s">
        <v>671</v>
      </c>
      <c r="D19" s="27" t="s">
        <v>681</v>
      </c>
      <c r="E19" s="26" t="s">
        <v>682</v>
      </c>
      <c r="F19" s="26" t="s">
        <v>683</v>
      </c>
      <c r="G19" s="26" t="s">
        <v>100</v>
      </c>
      <c r="H19" s="26" t="s">
        <v>85</v>
      </c>
      <c r="I19" s="26" t="s">
        <v>86</v>
      </c>
      <c r="J19" s="26" t="s">
        <v>87</v>
      </c>
      <c r="K19" s="26" t="s">
        <v>31</v>
      </c>
      <c r="L19" s="26" t="s">
        <v>18</v>
      </c>
      <c r="M19" s="26" t="s">
        <v>684</v>
      </c>
    </row>
    <row r="20" customFormat="false" ht="15" hidden="false" customHeight="false" outlineLevel="0" collapsed="false">
      <c r="A20" s="25" t="s">
        <v>685</v>
      </c>
      <c r="B20" s="26" t="s">
        <v>46</v>
      </c>
      <c r="C20" s="26" t="s">
        <v>198</v>
      </c>
      <c r="D20" s="27" t="s">
        <v>686</v>
      </c>
      <c r="E20" s="26" t="s">
        <v>464</v>
      </c>
      <c r="F20" s="26" t="s">
        <v>687</v>
      </c>
      <c r="G20" s="26" t="s">
        <v>100</v>
      </c>
      <c r="H20" s="26" t="s">
        <v>202</v>
      </c>
      <c r="I20" s="26" t="s">
        <v>86</v>
      </c>
      <c r="J20" s="26" t="s">
        <v>87</v>
      </c>
      <c r="K20" s="26" t="s">
        <v>29</v>
      </c>
      <c r="L20" s="26" t="s">
        <v>12</v>
      </c>
      <c r="M20" s="26" t="s">
        <v>688</v>
      </c>
    </row>
    <row r="21" customFormat="false" ht="23.85" hidden="false" customHeight="false" outlineLevel="0" collapsed="false">
      <c r="A21" s="25" t="s">
        <v>689</v>
      </c>
      <c r="B21" s="26" t="s">
        <v>47</v>
      </c>
      <c r="C21" s="26" t="s">
        <v>690</v>
      </c>
      <c r="D21" s="27" t="s">
        <v>691</v>
      </c>
      <c r="E21" s="26" t="s">
        <v>631</v>
      </c>
      <c r="F21" s="26" t="s">
        <v>692</v>
      </c>
      <c r="G21" s="26" t="s">
        <v>100</v>
      </c>
      <c r="H21" s="26" t="s">
        <v>79</v>
      </c>
      <c r="I21" s="26" t="s">
        <v>79</v>
      </c>
      <c r="J21" s="26" t="s">
        <v>80</v>
      </c>
      <c r="K21" s="26" t="s">
        <v>29</v>
      </c>
      <c r="L21" s="26" t="s">
        <v>14</v>
      </c>
      <c r="M21" s="26"/>
    </row>
    <row r="22" customFormat="false" ht="23.85" hidden="false" customHeight="false" outlineLevel="0" collapsed="false">
      <c r="A22" s="25" t="s">
        <v>693</v>
      </c>
      <c r="B22" s="26" t="s">
        <v>47</v>
      </c>
      <c r="C22" s="26" t="s">
        <v>690</v>
      </c>
      <c r="D22" s="27" t="s">
        <v>694</v>
      </c>
      <c r="E22" s="26" t="s">
        <v>631</v>
      </c>
      <c r="F22" s="26" t="s">
        <v>695</v>
      </c>
      <c r="G22" s="26" t="s">
        <v>100</v>
      </c>
      <c r="H22" s="26" t="s">
        <v>79</v>
      </c>
      <c r="I22" s="26" t="s">
        <v>79</v>
      </c>
      <c r="J22" s="26" t="s">
        <v>80</v>
      </c>
      <c r="K22" s="26" t="s">
        <v>29</v>
      </c>
      <c r="L22" s="26" t="s">
        <v>12</v>
      </c>
      <c r="M22" s="26" t="s">
        <v>696</v>
      </c>
    </row>
    <row r="23" customFormat="false" ht="23.85" hidden="false" customHeight="false" outlineLevel="0" collapsed="false">
      <c r="A23" s="25" t="s">
        <v>697</v>
      </c>
      <c r="B23" s="26" t="s">
        <v>47</v>
      </c>
      <c r="C23" s="26" t="s">
        <v>690</v>
      </c>
      <c r="D23" s="27" t="s">
        <v>698</v>
      </c>
      <c r="E23" s="26" t="s">
        <v>631</v>
      </c>
      <c r="F23" s="26" t="s">
        <v>699</v>
      </c>
      <c r="G23" s="26" t="s">
        <v>100</v>
      </c>
      <c r="H23" s="26" t="s">
        <v>79</v>
      </c>
      <c r="I23" s="26" t="s">
        <v>79</v>
      </c>
      <c r="J23" s="26" t="s">
        <v>80</v>
      </c>
      <c r="K23" s="26" t="s">
        <v>29</v>
      </c>
      <c r="L23" s="26" t="s">
        <v>14</v>
      </c>
      <c r="M23" s="26"/>
    </row>
    <row r="24" customFormat="false" ht="23.85" hidden="false" customHeight="false" outlineLevel="0" collapsed="false">
      <c r="A24" s="25" t="s">
        <v>700</v>
      </c>
      <c r="B24" s="26" t="s">
        <v>47</v>
      </c>
      <c r="C24" s="26" t="s">
        <v>701</v>
      </c>
      <c r="D24" s="27" t="s">
        <v>702</v>
      </c>
      <c r="E24" s="26" t="s">
        <v>703</v>
      </c>
      <c r="F24" s="26" t="s">
        <v>704</v>
      </c>
      <c r="G24" s="26" t="s">
        <v>100</v>
      </c>
      <c r="H24" s="26" t="s">
        <v>79</v>
      </c>
      <c r="I24" s="26" t="s">
        <v>79</v>
      </c>
      <c r="J24" s="26" t="s">
        <v>80</v>
      </c>
      <c r="K24" s="26" t="s">
        <v>29</v>
      </c>
      <c r="L24" s="26" t="s">
        <v>14</v>
      </c>
      <c r="M24" s="26"/>
    </row>
    <row r="25" customFormat="false" ht="15" hidden="false" customHeight="false" outlineLevel="0" collapsed="false">
      <c r="A25" s="25" t="s">
        <v>705</v>
      </c>
      <c r="B25" s="26" t="s">
        <v>47</v>
      </c>
      <c r="C25" s="26" t="s">
        <v>701</v>
      </c>
      <c r="D25" s="27" t="s">
        <v>706</v>
      </c>
      <c r="E25" s="26" t="s">
        <v>464</v>
      </c>
      <c r="F25" s="26" t="s">
        <v>707</v>
      </c>
      <c r="G25" s="26" t="s">
        <v>100</v>
      </c>
      <c r="H25" s="26" t="s">
        <v>85</v>
      </c>
      <c r="I25" s="26" t="s">
        <v>86</v>
      </c>
      <c r="J25" s="26" t="s">
        <v>87</v>
      </c>
      <c r="K25" s="26" t="s">
        <v>29</v>
      </c>
      <c r="L25" s="26" t="s">
        <v>14</v>
      </c>
      <c r="M25" s="26"/>
    </row>
    <row r="26" customFormat="false" ht="23.85" hidden="false" customHeight="false" outlineLevel="0" collapsed="false">
      <c r="A26" s="25" t="s">
        <v>708</v>
      </c>
      <c r="B26" s="26" t="s">
        <v>47</v>
      </c>
      <c r="C26" s="26" t="s">
        <v>709</v>
      </c>
      <c r="D26" s="27" t="s">
        <v>710</v>
      </c>
      <c r="E26" s="26" t="s">
        <v>631</v>
      </c>
      <c r="F26" s="26" t="s">
        <v>711</v>
      </c>
      <c r="G26" s="26" t="s">
        <v>100</v>
      </c>
      <c r="H26" s="26" t="s">
        <v>79</v>
      </c>
      <c r="I26" s="26" t="s">
        <v>79</v>
      </c>
      <c r="J26" s="26" t="s">
        <v>80</v>
      </c>
      <c r="K26" s="26" t="s">
        <v>29</v>
      </c>
      <c r="L26" s="26" t="s">
        <v>14</v>
      </c>
      <c r="M26" s="26"/>
    </row>
    <row r="27" customFormat="false" ht="15" hidden="false" customHeight="false" outlineLevel="0" collapsed="false">
      <c r="A27" s="25" t="s">
        <v>712</v>
      </c>
      <c r="B27" s="26" t="s">
        <v>47</v>
      </c>
      <c r="C27" s="26" t="s">
        <v>144</v>
      </c>
      <c r="D27" s="27" t="s">
        <v>713</v>
      </c>
      <c r="E27" s="26" t="s">
        <v>464</v>
      </c>
      <c r="F27" s="26" t="s">
        <v>714</v>
      </c>
      <c r="G27" s="26" t="s">
        <v>140</v>
      </c>
      <c r="H27" s="26" t="s">
        <v>85</v>
      </c>
      <c r="I27" s="26" t="s">
        <v>86</v>
      </c>
      <c r="J27" s="26" t="s">
        <v>87</v>
      </c>
      <c r="K27" s="26" t="s">
        <v>29</v>
      </c>
      <c r="L27" s="26" t="s">
        <v>14</v>
      </c>
      <c r="M27" s="26" t="s">
        <v>715</v>
      </c>
    </row>
    <row r="28" customFormat="false" ht="15" hidden="false" customHeight="false" outlineLevel="0" collapsed="false">
      <c r="A28" s="25" t="s">
        <v>716</v>
      </c>
      <c r="B28" s="26" t="s">
        <v>47</v>
      </c>
      <c r="C28" s="26" t="s">
        <v>144</v>
      </c>
      <c r="D28" s="27" t="s">
        <v>717</v>
      </c>
      <c r="E28" s="26" t="s">
        <v>718</v>
      </c>
      <c r="F28" s="26" t="s">
        <v>124</v>
      </c>
      <c r="G28" s="26" t="s">
        <v>140</v>
      </c>
      <c r="H28" s="26" t="s">
        <v>85</v>
      </c>
      <c r="I28" s="26" t="s">
        <v>86</v>
      </c>
      <c r="J28" s="26" t="s">
        <v>87</v>
      </c>
      <c r="K28" s="26" t="s">
        <v>31</v>
      </c>
      <c r="L28" s="26" t="s">
        <v>20</v>
      </c>
      <c r="M28" s="26" t="s">
        <v>719</v>
      </c>
    </row>
    <row r="29" customFormat="false" ht="15" hidden="false" customHeight="false" outlineLevel="0" collapsed="false">
      <c r="A29" s="25" t="s">
        <v>720</v>
      </c>
      <c r="B29" s="26" t="s">
        <v>47</v>
      </c>
      <c r="C29" s="26" t="s">
        <v>144</v>
      </c>
      <c r="D29" s="27" t="s">
        <v>721</v>
      </c>
      <c r="E29" s="26" t="s">
        <v>464</v>
      </c>
      <c r="F29" s="26" t="s">
        <v>722</v>
      </c>
      <c r="G29" s="26" t="s">
        <v>100</v>
      </c>
      <c r="H29" s="26" t="s">
        <v>85</v>
      </c>
      <c r="I29" s="26" t="s">
        <v>86</v>
      </c>
      <c r="J29" s="26" t="s">
        <v>87</v>
      </c>
      <c r="K29" s="26" t="s">
        <v>29</v>
      </c>
      <c r="L29" s="26" t="s">
        <v>14</v>
      </c>
      <c r="M29" s="26" t="s">
        <v>723</v>
      </c>
    </row>
    <row r="30" customFormat="false" ht="23.85" hidden="false" customHeight="false" outlineLevel="0" collapsed="false">
      <c r="A30" s="25" t="s">
        <v>724</v>
      </c>
      <c r="B30" s="26" t="s">
        <v>47</v>
      </c>
      <c r="C30" s="26" t="s">
        <v>725</v>
      </c>
      <c r="D30" s="27" t="s">
        <v>726</v>
      </c>
      <c r="E30" s="26" t="s">
        <v>727</v>
      </c>
      <c r="F30" s="26" t="s">
        <v>728</v>
      </c>
      <c r="G30" s="26" t="s">
        <v>100</v>
      </c>
      <c r="H30" s="26" t="s">
        <v>79</v>
      </c>
      <c r="I30" s="26" t="s">
        <v>79</v>
      </c>
      <c r="J30" s="26" t="s">
        <v>80</v>
      </c>
      <c r="K30" s="26" t="s">
        <v>31</v>
      </c>
      <c r="L30" s="26" t="s">
        <v>18</v>
      </c>
      <c r="M30" s="26"/>
    </row>
    <row r="31" customFormat="false" ht="23.85" hidden="false" customHeight="false" outlineLevel="0" collapsed="false">
      <c r="A31" s="25" t="s">
        <v>729</v>
      </c>
      <c r="B31" s="26" t="s">
        <v>47</v>
      </c>
      <c r="C31" s="26" t="s">
        <v>725</v>
      </c>
      <c r="D31" s="27" t="s">
        <v>730</v>
      </c>
      <c r="E31" s="26" t="s">
        <v>731</v>
      </c>
      <c r="F31" s="26" t="s">
        <v>124</v>
      </c>
      <c r="G31" s="26" t="s">
        <v>148</v>
      </c>
      <c r="H31" s="26" t="s">
        <v>732</v>
      </c>
      <c r="I31" s="26" t="s">
        <v>79</v>
      </c>
      <c r="J31" s="26" t="s">
        <v>80</v>
      </c>
      <c r="K31" s="26" t="s">
        <v>31</v>
      </c>
      <c r="L31" s="26" t="s">
        <v>20</v>
      </c>
      <c r="M31" s="26"/>
    </row>
    <row r="32" customFormat="false" ht="23.85" hidden="false" customHeight="false" outlineLevel="0" collapsed="false">
      <c r="A32" s="25" t="s">
        <v>733</v>
      </c>
      <c r="B32" s="26" t="s">
        <v>45</v>
      </c>
      <c r="C32" s="26" t="s">
        <v>74</v>
      </c>
      <c r="D32" s="27" t="s">
        <v>734</v>
      </c>
      <c r="E32" s="26" t="s">
        <v>703</v>
      </c>
      <c r="F32" s="26" t="s">
        <v>735</v>
      </c>
      <c r="G32" s="26" t="s">
        <v>78</v>
      </c>
      <c r="H32" s="26" t="s">
        <v>736</v>
      </c>
      <c r="I32" s="26" t="s">
        <v>79</v>
      </c>
      <c r="J32" s="26" t="s">
        <v>80</v>
      </c>
      <c r="K32" s="26" t="s">
        <v>29</v>
      </c>
      <c r="L32" s="26" t="s">
        <v>14</v>
      </c>
      <c r="M32" s="26"/>
    </row>
    <row r="33" customFormat="false" ht="15" hidden="false" customHeight="false" outlineLevel="0" collapsed="false">
      <c r="A33" s="25" t="s">
        <v>737</v>
      </c>
      <c r="B33" s="26" t="s">
        <v>45</v>
      </c>
      <c r="C33" s="26" t="s">
        <v>74</v>
      </c>
      <c r="D33" s="27" t="s">
        <v>738</v>
      </c>
      <c r="E33" s="26" t="s">
        <v>200</v>
      </c>
      <c r="F33" s="26" t="s">
        <v>739</v>
      </c>
      <c r="G33" s="26" t="s">
        <v>78</v>
      </c>
      <c r="H33" s="26" t="s">
        <v>740</v>
      </c>
      <c r="I33" s="26" t="s">
        <v>22</v>
      </c>
      <c r="J33" s="26" t="s">
        <v>203</v>
      </c>
      <c r="K33" s="26" t="s">
        <v>29</v>
      </c>
      <c r="L33" s="26" t="s">
        <v>22</v>
      </c>
      <c r="M33" s="26"/>
    </row>
    <row r="34" customFormat="false" ht="23.85" hidden="false" customHeight="false" outlineLevel="0" collapsed="false">
      <c r="A34" s="25" t="s">
        <v>741</v>
      </c>
      <c r="B34" s="26" t="s">
        <v>45</v>
      </c>
      <c r="C34" s="26" t="s">
        <v>74</v>
      </c>
      <c r="D34" s="27" t="s">
        <v>742</v>
      </c>
      <c r="E34" s="26" t="s">
        <v>743</v>
      </c>
      <c r="F34" s="26" t="s">
        <v>744</v>
      </c>
      <c r="G34" s="26" t="s">
        <v>78</v>
      </c>
      <c r="H34" s="26" t="s">
        <v>745</v>
      </c>
      <c r="I34" s="26" t="s">
        <v>79</v>
      </c>
      <c r="J34" s="26" t="s">
        <v>80</v>
      </c>
      <c r="K34" s="26" t="s">
        <v>31</v>
      </c>
      <c r="L34" s="26" t="s">
        <v>14</v>
      </c>
      <c r="M34" s="26"/>
    </row>
    <row r="35" customFormat="false" ht="15" hidden="false" customHeight="false" outlineLevel="0" collapsed="false">
      <c r="A35" s="25" t="s">
        <v>746</v>
      </c>
      <c r="B35" s="26" t="s">
        <v>45</v>
      </c>
      <c r="C35" s="26" t="s">
        <v>74</v>
      </c>
      <c r="D35" s="27" t="s">
        <v>747</v>
      </c>
      <c r="E35" s="26" t="s">
        <v>748</v>
      </c>
      <c r="F35" s="26" t="s">
        <v>749</v>
      </c>
      <c r="G35" s="26" t="s">
        <v>750</v>
      </c>
      <c r="H35" s="26" t="s">
        <v>751</v>
      </c>
      <c r="I35" s="26" t="s">
        <v>86</v>
      </c>
      <c r="J35" s="26" t="s">
        <v>87</v>
      </c>
      <c r="K35" s="26" t="s">
        <v>29</v>
      </c>
      <c r="L35" s="26" t="s">
        <v>12</v>
      </c>
      <c r="M35" s="26" t="s">
        <v>752</v>
      </c>
    </row>
    <row r="36" customFormat="false" ht="23.85" hidden="false" customHeight="false" outlineLevel="0" collapsed="false">
      <c r="A36" s="25" t="s">
        <v>753</v>
      </c>
      <c r="B36" s="26" t="s">
        <v>45</v>
      </c>
      <c r="C36" s="26" t="s">
        <v>754</v>
      </c>
      <c r="D36" s="27" t="s">
        <v>755</v>
      </c>
      <c r="E36" s="26" t="s">
        <v>756</v>
      </c>
      <c r="F36" s="26" t="s">
        <v>757</v>
      </c>
      <c r="G36" s="26" t="s">
        <v>100</v>
      </c>
      <c r="H36" s="26" t="s">
        <v>427</v>
      </c>
      <c r="I36" s="26" t="s">
        <v>102</v>
      </c>
      <c r="J36" s="26" t="s">
        <v>103</v>
      </c>
      <c r="K36" s="26" t="s">
        <v>29</v>
      </c>
      <c r="L36" s="26" t="s">
        <v>14</v>
      </c>
      <c r="M36" s="26"/>
    </row>
    <row r="37" customFormat="false" ht="23.85" hidden="false" customHeight="false" outlineLevel="0" collapsed="false">
      <c r="A37" s="25" t="s">
        <v>758</v>
      </c>
      <c r="B37" s="26" t="s">
        <v>45</v>
      </c>
      <c r="C37" s="26" t="s">
        <v>754</v>
      </c>
      <c r="D37" s="27" t="s">
        <v>759</v>
      </c>
      <c r="E37" s="26" t="s">
        <v>703</v>
      </c>
      <c r="F37" s="26" t="s">
        <v>760</v>
      </c>
      <c r="G37" s="26" t="s">
        <v>100</v>
      </c>
      <c r="H37" s="26" t="s">
        <v>745</v>
      </c>
      <c r="I37" s="26" t="s">
        <v>102</v>
      </c>
      <c r="J37" s="26" t="s">
        <v>103</v>
      </c>
      <c r="K37" s="26" t="s">
        <v>29</v>
      </c>
      <c r="L37" s="26" t="s">
        <v>14</v>
      </c>
      <c r="M37" s="26"/>
    </row>
    <row r="38" customFormat="false" ht="23.85" hidden="false" customHeight="false" outlineLevel="0" collapsed="false">
      <c r="A38" s="25" t="s">
        <v>761</v>
      </c>
      <c r="B38" s="26" t="s">
        <v>45</v>
      </c>
      <c r="C38" s="26" t="s">
        <v>762</v>
      </c>
      <c r="D38" s="27" t="s">
        <v>763</v>
      </c>
      <c r="E38" s="26" t="s">
        <v>756</v>
      </c>
      <c r="F38" s="26" t="s">
        <v>16</v>
      </c>
      <c r="G38" s="26" t="s">
        <v>100</v>
      </c>
      <c r="H38" s="26" t="s">
        <v>427</v>
      </c>
      <c r="I38" s="26" t="s">
        <v>102</v>
      </c>
      <c r="J38" s="26" t="s">
        <v>103</v>
      </c>
      <c r="K38" s="26" t="s">
        <v>31</v>
      </c>
      <c r="L38" s="26" t="s">
        <v>16</v>
      </c>
      <c r="M38" s="26"/>
    </row>
    <row r="39" customFormat="false" ht="23.85" hidden="false" customHeight="false" outlineLevel="0" collapsed="false">
      <c r="A39" s="25" t="s">
        <v>764</v>
      </c>
      <c r="B39" s="26" t="s">
        <v>45</v>
      </c>
      <c r="C39" s="26" t="s">
        <v>762</v>
      </c>
      <c r="D39" s="27" t="s">
        <v>765</v>
      </c>
      <c r="E39" s="26" t="s">
        <v>766</v>
      </c>
      <c r="F39" s="26" t="s">
        <v>767</v>
      </c>
      <c r="G39" s="26" t="s">
        <v>78</v>
      </c>
      <c r="H39" s="26" t="s">
        <v>427</v>
      </c>
      <c r="I39" s="26" t="s">
        <v>102</v>
      </c>
      <c r="J39" s="26" t="s">
        <v>103</v>
      </c>
      <c r="K39" s="26" t="s">
        <v>31</v>
      </c>
      <c r="L39" s="26" t="s">
        <v>14</v>
      </c>
      <c r="M39" s="26"/>
    </row>
    <row r="40" customFormat="false" ht="23.85" hidden="false" customHeight="false" outlineLevel="0" collapsed="false">
      <c r="A40" s="25" t="s">
        <v>768</v>
      </c>
      <c r="B40" s="26" t="s">
        <v>45</v>
      </c>
      <c r="C40" s="26" t="s">
        <v>769</v>
      </c>
      <c r="D40" s="27" t="s">
        <v>770</v>
      </c>
      <c r="E40" s="26" t="s">
        <v>703</v>
      </c>
      <c r="F40" s="26" t="s">
        <v>771</v>
      </c>
      <c r="G40" s="26" t="s">
        <v>78</v>
      </c>
      <c r="H40" s="26" t="s">
        <v>745</v>
      </c>
      <c r="I40" s="26" t="s">
        <v>102</v>
      </c>
      <c r="J40" s="26" t="s">
        <v>103</v>
      </c>
      <c r="K40" s="26" t="s">
        <v>29</v>
      </c>
      <c r="L40" s="26" t="s">
        <v>14</v>
      </c>
      <c r="M40" s="26"/>
    </row>
    <row r="41" customFormat="false" ht="15" hidden="false" customHeight="false" outlineLevel="0" collapsed="false">
      <c r="A41" s="25" t="s">
        <v>772</v>
      </c>
      <c r="B41" s="26" t="s">
        <v>45</v>
      </c>
      <c r="C41" s="26" t="s">
        <v>769</v>
      </c>
      <c r="D41" s="27" t="s">
        <v>773</v>
      </c>
      <c r="E41" s="26" t="s">
        <v>756</v>
      </c>
      <c r="F41" s="26" t="s">
        <v>774</v>
      </c>
      <c r="G41" s="26" t="s">
        <v>100</v>
      </c>
      <c r="H41" s="26" t="s">
        <v>649</v>
      </c>
      <c r="I41" s="26" t="s">
        <v>86</v>
      </c>
      <c r="J41" s="26" t="s">
        <v>87</v>
      </c>
      <c r="K41" s="26" t="s">
        <v>29</v>
      </c>
      <c r="L41" s="26" t="s">
        <v>14</v>
      </c>
      <c r="M41" s="26" t="s">
        <v>775</v>
      </c>
    </row>
    <row r="42" customFormat="false" ht="23.85" hidden="false" customHeight="false" outlineLevel="0" collapsed="false">
      <c r="A42" s="25" t="s">
        <v>776</v>
      </c>
      <c r="B42" s="26" t="s">
        <v>45</v>
      </c>
      <c r="C42" s="26" t="s">
        <v>777</v>
      </c>
      <c r="D42" s="27" t="s">
        <v>778</v>
      </c>
      <c r="E42" s="26" t="s">
        <v>779</v>
      </c>
      <c r="F42" s="26" t="s">
        <v>780</v>
      </c>
      <c r="G42" s="26" t="s">
        <v>100</v>
      </c>
      <c r="H42" s="26" t="s">
        <v>79</v>
      </c>
      <c r="I42" s="26" t="s">
        <v>79</v>
      </c>
      <c r="J42" s="26" t="s">
        <v>80</v>
      </c>
      <c r="K42" s="26" t="s">
        <v>29</v>
      </c>
      <c r="L42" s="26" t="s">
        <v>14</v>
      </c>
      <c r="M42" s="26" t="s">
        <v>723</v>
      </c>
    </row>
    <row r="43" customFormat="false" ht="23.85" hidden="false" customHeight="false" outlineLevel="0" collapsed="false">
      <c r="A43" s="25" t="s">
        <v>781</v>
      </c>
      <c r="B43" s="26" t="s">
        <v>45</v>
      </c>
      <c r="C43" s="26" t="s">
        <v>782</v>
      </c>
      <c r="D43" s="27" t="s">
        <v>783</v>
      </c>
      <c r="E43" s="26" t="s">
        <v>784</v>
      </c>
      <c r="F43" s="26" t="s">
        <v>124</v>
      </c>
      <c r="G43" s="26" t="s">
        <v>100</v>
      </c>
      <c r="H43" s="26" t="s">
        <v>79</v>
      </c>
      <c r="I43" s="26" t="s">
        <v>79</v>
      </c>
      <c r="J43" s="26" t="s">
        <v>80</v>
      </c>
      <c r="K43" s="26" t="s">
        <v>31</v>
      </c>
      <c r="L43" s="26" t="s">
        <v>20</v>
      </c>
      <c r="M43" s="26" t="s">
        <v>785</v>
      </c>
    </row>
    <row r="44" customFormat="false" ht="23.85" hidden="false" customHeight="false" outlineLevel="0" collapsed="false">
      <c r="A44" s="25" t="s">
        <v>786</v>
      </c>
      <c r="B44" s="26" t="s">
        <v>45</v>
      </c>
      <c r="C44" s="26" t="s">
        <v>782</v>
      </c>
      <c r="D44" s="27" t="s">
        <v>787</v>
      </c>
      <c r="E44" s="26" t="s">
        <v>464</v>
      </c>
      <c r="F44" s="26" t="s">
        <v>788</v>
      </c>
      <c r="G44" s="26" t="s">
        <v>100</v>
      </c>
      <c r="H44" s="26" t="s">
        <v>79</v>
      </c>
      <c r="I44" s="26" t="s">
        <v>79</v>
      </c>
      <c r="J44" s="26" t="s">
        <v>80</v>
      </c>
      <c r="K44" s="26" t="s">
        <v>29</v>
      </c>
      <c r="L44" s="26" t="s">
        <v>14</v>
      </c>
      <c r="M44" s="26" t="s">
        <v>789</v>
      </c>
    </row>
    <row r="45" customFormat="false" ht="15" hidden="false" customHeight="false" outlineLevel="0" collapsed="false">
      <c r="A45" s="25" t="s">
        <v>790</v>
      </c>
      <c r="B45" s="26" t="s">
        <v>56</v>
      </c>
      <c r="C45" s="26" t="s">
        <v>54</v>
      </c>
      <c r="D45" s="27" t="s">
        <v>791</v>
      </c>
      <c r="E45" s="26" t="s">
        <v>464</v>
      </c>
      <c r="F45" s="26" t="s">
        <v>792</v>
      </c>
      <c r="G45" s="26" t="s">
        <v>140</v>
      </c>
      <c r="H45" s="26" t="s">
        <v>85</v>
      </c>
      <c r="I45" s="26" t="s">
        <v>86</v>
      </c>
      <c r="J45" s="26" t="s">
        <v>87</v>
      </c>
      <c r="K45" s="26" t="s">
        <v>29</v>
      </c>
      <c r="L45" s="26" t="s">
        <v>14</v>
      </c>
      <c r="M45" s="26"/>
    </row>
    <row r="46" customFormat="false" ht="23.85" hidden="false" customHeight="false" outlineLevel="0" collapsed="false">
      <c r="A46" s="25" t="s">
        <v>793</v>
      </c>
      <c r="B46" s="26" t="s">
        <v>56</v>
      </c>
      <c r="C46" s="26" t="s">
        <v>472</v>
      </c>
      <c r="D46" s="27" t="s">
        <v>794</v>
      </c>
      <c r="E46" s="26" t="s">
        <v>464</v>
      </c>
      <c r="F46" s="26" t="s">
        <v>795</v>
      </c>
      <c r="G46" s="26" t="s">
        <v>148</v>
      </c>
      <c r="H46" s="26" t="s">
        <v>427</v>
      </c>
      <c r="I46" s="26" t="s">
        <v>165</v>
      </c>
      <c r="J46" s="26" t="s">
        <v>166</v>
      </c>
      <c r="K46" s="26" t="s">
        <v>29</v>
      </c>
      <c r="L46" s="26" t="s">
        <v>14</v>
      </c>
      <c r="M46" s="26"/>
    </row>
    <row r="47" customFormat="false" ht="15" hidden="false" customHeight="false" outlineLevel="0" collapsed="false">
      <c r="A47" s="25" t="s">
        <v>796</v>
      </c>
      <c r="B47" s="26" t="s">
        <v>56</v>
      </c>
      <c r="C47" s="26" t="s">
        <v>797</v>
      </c>
      <c r="D47" s="27" t="s">
        <v>798</v>
      </c>
      <c r="E47" s="26" t="s">
        <v>799</v>
      </c>
      <c r="F47" s="26" t="s">
        <v>800</v>
      </c>
      <c r="G47" s="26" t="s">
        <v>619</v>
      </c>
      <c r="H47" s="26" t="s">
        <v>342</v>
      </c>
      <c r="I47" s="26" t="s">
        <v>342</v>
      </c>
      <c r="J47" s="26" t="s">
        <v>124</v>
      </c>
      <c r="K47" s="26" t="s">
        <v>29</v>
      </c>
      <c r="L47" s="26" t="s">
        <v>14</v>
      </c>
      <c r="M47" s="26" t="s">
        <v>801</v>
      </c>
    </row>
    <row r="48" customFormat="false" ht="15" hidden="false" customHeight="false" outlineLevel="0" collapsed="false">
      <c r="A48" s="25" t="s">
        <v>802</v>
      </c>
      <c r="B48" s="26" t="s">
        <v>56</v>
      </c>
      <c r="C48" s="26" t="s">
        <v>414</v>
      </c>
      <c r="D48" s="27" t="s">
        <v>803</v>
      </c>
      <c r="E48" s="26" t="s">
        <v>464</v>
      </c>
      <c r="F48" s="26" t="s">
        <v>804</v>
      </c>
      <c r="G48" s="26" t="s">
        <v>78</v>
      </c>
      <c r="H48" s="26" t="s">
        <v>85</v>
      </c>
      <c r="I48" s="26" t="s">
        <v>86</v>
      </c>
      <c r="J48" s="26" t="s">
        <v>87</v>
      </c>
      <c r="K48" s="26" t="s">
        <v>29</v>
      </c>
      <c r="L48" s="26" t="s">
        <v>12</v>
      </c>
      <c r="M48" s="26" t="s">
        <v>805</v>
      </c>
    </row>
    <row r="49" customFormat="false" ht="23.85" hidden="false" customHeight="false" outlineLevel="0" collapsed="false">
      <c r="A49" s="25" t="s">
        <v>806</v>
      </c>
      <c r="B49" s="26" t="s">
        <v>56</v>
      </c>
      <c r="C49" s="26" t="s">
        <v>807</v>
      </c>
      <c r="D49" s="27" t="s">
        <v>808</v>
      </c>
      <c r="E49" s="26" t="s">
        <v>464</v>
      </c>
      <c r="F49" s="26" t="s">
        <v>809</v>
      </c>
      <c r="G49" s="26" t="s">
        <v>140</v>
      </c>
      <c r="H49" s="26" t="s">
        <v>85</v>
      </c>
      <c r="I49" s="26" t="s">
        <v>86</v>
      </c>
      <c r="J49" s="26" t="s">
        <v>87</v>
      </c>
      <c r="K49" s="26" t="s">
        <v>29</v>
      </c>
      <c r="L49" s="26" t="s">
        <v>14</v>
      </c>
      <c r="M49" s="26"/>
    </row>
    <row r="50" customFormat="false" ht="15" hidden="false" customHeight="false" outlineLevel="0" collapsed="false">
      <c r="A50" s="25" t="s">
        <v>810</v>
      </c>
      <c r="B50" s="26" t="s">
        <v>56</v>
      </c>
      <c r="C50" s="26" t="s">
        <v>807</v>
      </c>
      <c r="D50" s="27" t="s">
        <v>811</v>
      </c>
      <c r="E50" s="26" t="s">
        <v>464</v>
      </c>
      <c r="F50" s="26" t="s">
        <v>812</v>
      </c>
      <c r="G50" s="26" t="s">
        <v>140</v>
      </c>
      <c r="H50" s="26" t="s">
        <v>85</v>
      </c>
      <c r="I50" s="26" t="s">
        <v>86</v>
      </c>
      <c r="J50" s="26" t="s">
        <v>87</v>
      </c>
      <c r="K50" s="26" t="s">
        <v>29</v>
      </c>
      <c r="L50" s="26" t="s">
        <v>14</v>
      </c>
      <c r="M50" s="26"/>
    </row>
    <row r="51" customFormat="false" ht="15" hidden="false" customHeight="false" outlineLevel="0" collapsed="false">
      <c r="A51" s="25" t="s">
        <v>813</v>
      </c>
      <c r="B51" s="26" t="s">
        <v>56</v>
      </c>
      <c r="C51" s="26" t="s">
        <v>807</v>
      </c>
      <c r="D51" s="27" t="s">
        <v>814</v>
      </c>
      <c r="E51" s="26" t="s">
        <v>718</v>
      </c>
      <c r="F51" s="26" t="s">
        <v>124</v>
      </c>
      <c r="G51" s="26" t="s">
        <v>140</v>
      </c>
      <c r="H51" s="26" t="s">
        <v>85</v>
      </c>
      <c r="I51" s="26" t="s">
        <v>86</v>
      </c>
      <c r="J51" s="26" t="s">
        <v>87</v>
      </c>
      <c r="K51" s="26" t="s">
        <v>31</v>
      </c>
      <c r="L51" s="26" t="s">
        <v>20</v>
      </c>
      <c r="M51" s="26"/>
    </row>
    <row r="52" customFormat="false" ht="23.85" hidden="false" customHeight="false" outlineLevel="0" collapsed="false">
      <c r="A52" s="25" t="s">
        <v>815</v>
      </c>
      <c r="B52" s="26" t="s">
        <v>56</v>
      </c>
      <c r="C52" s="26" t="s">
        <v>816</v>
      </c>
      <c r="D52" s="27" t="s">
        <v>817</v>
      </c>
      <c r="E52" s="26" t="s">
        <v>818</v>
      </c>
      <c r="F52" s="26" t="s">
        <v>124</v>
      </c>
      <c r="G52" s="26" t="s">
        <v>140</v>
      </c>
      <c r="H52" s="26" t="s">
        <v>85</v>
      </c>
      <c r="I52" s="26" t="s">
        <v>86</v>
      </c>
      <c r="J52" s="26" t="s">
        <v>87</v>
      </c>
      <c r="K52" s="26" t="s">
        <v>31</v>
      </c>
      <c r="L52" s="26" t="s">
        <v>20</v>
      </c>
      <c r="M52" s="26" t="s">
        <v>819</v>
      </c>
    </row>
    <row r="53" customFormat="false" ht="15" hidden="false" customHeight="false" outlineLevel="0" collapsed="false">
      <c r="A53" s="25" t="s">
        <v>820</v>
      </c>
      <c r="B53" s="26" t="s">
        <v>56</v>
      </c>
      <c r="C53" s="26" t="s">
        <v>358</v>
      </c>
      <c r="D53" s="27" t="s">
        <v>821</v>
      </c>
      <c r="E53" s="26" t="s">
        <v>822</v>
      </c>
      <c r="F53" s="26" t="s">
        <v>823</v>
      </c>
      <c r="G53" s="26" t="s">
        <v>148</v>
      </c>
      <c r="H53" s="26" t="s">
        <v>85</v>
      </c>
      <c r="I53" s="26" t="s">
        <v>86</v>
      </c>
      <c r="J53" s="26" t="s">
        <v>87</v>
      </c>
      <c r="K53" s="26" t="s">
        <v>29</v>
      </c>
      <c r="L53" s="26" t="s">
        <v>14</v>
      </c>
      <c r="M53" s="26"/>
    </row>
    <row r="54" customFormat="false" ht="23.85" hidden="false" customHeight="false" outlineLevel="0" collapsed="false">
      <c r="A54" s="25" t="s">
        <v>824</v>
      </c>
      <c r="B54" s="26" t="s">
        <v>56</v>
      </c>
      <c r="C54" s="26" t="s">
        <v>345</v>
      </c>
      <c r="D54" s="27" t="s">
        <v>825</v>
      </c>
      <c r="E54" s="26" t="s">
        <v>464</v>
      </c>
      <c r="F54" s="26" t="s">
        <v>826</v>
      </c>
      <c r="G54" s="26" t="s">
        <v>100</v>
      </c>
      <c r="H54" s="26" t="s">
        <v>745</v>
      </c>
      <c r="I54" s="26" t="s">
        <v>165</v>
      </c>
      <c r="J54" s="26" t="s">
        <v>166</v>
      </c>
      <c r="K54" s="26" t="s">
        <v>29</v>
      </c>
      <c r="L54" s="26" t="s">
        <v>14</v>
      </c>
      <c r="M54" s="26"/>
    </row>
    <row r="55" customFormat="false" ht="23.85" hidden="false" customHeight="false" outlineLevel="0" collapsed="false">
      <c r="A55" s="25" t="s">
        <v>827</v>
      </c>
      <c r="B55" s="26" t="s">
        <v>56</v>
      </c>
      <c r="C55" s="26" t="s">
        <v>345</v>
      </c>
      <c r="D55" s="27" t="s">
        <v>828</v>
      </c>
      <c r="E55" s="26" t="s">
        <v>829</v>
      </c>
      <c r="F55" s="26" t="s">
        <v>830</v>
      </c>
      <c r="G55" s="26" t="s">
        <v>100</v>
      </c>
      <c r="H55" s="26" t="s">
        <v>745</v>
      </c>
      <c r="I55" s="26" t="s">
        <v>165</v>
      </c>
      <c r="J55" s="26" t="s">
        <v>166</v>
      </c>
      <c r="K55" s="26" t="s">
        <v>31</v>
      </c>
      <c r="L55" s="26" t="s">
        <v>18</v>
      </c>
      <c r="M55" s="26" t="s">
        <v>831</v>
      </c>
    </row>
    <row r="56" customFormat="false" ht="23.85" hidden="false" customHeight="false" outlineLevel="0" collapsed="false">
      <c r="A56" s="25" t="s">
        <v>832</v>
      </c>
      <c r="B56" s="26" t="s">
        <v>56</v>
      </c>
      <c r="C56" s="26" t="s">
        <v>378</v>
      </c>
      <c r="D56" s="27" t="s">
        <v>833</v>
      </c>
      <c r="E56" s="26" t="s">
        <v>464</v>
      </c>
      <c r="F56" s="26" t="s">
        <v>834</v>
      </c>
      <c r="G56" s="26" t="s">
        <v>148</v>
      </c>
      <c r="H56" s="26" t="s">
        <v>79</v>
      </c>
      <c r="I56" s="26" t="s">
        <v>79</v>
      </c>
      <c r="J56" s="26" t="s">
        <v>80</v>
      </c>
      <c r="K56" s="26" t="s">
        <v>29</v>
      </c>
      <c r="L56" s="26" t="s">
        <v>14</v>
      </c>
      <c r="M56" s="26"/>
    </row>
    <row r="57" customFormat="false" ht="23.85" hidden="false" customHeight="false" outlineLevel="0" collapsed="false">
      <c r="A57" s="25" t="s">
        <v>835</v>
      </c>
      <c r="B57" s="26" t="s">
        <v>56</v>
      </c>
      <c r="C57" s="26" t="s">
        <v>378</v>
      </c>
      <c r="D57" s="27" t="s">
        <v>836</v>
      </c>
      <c r="E57" s="26" t="s">
        <v>464</v>
      </c>
      <c r="F57" s="26" t="s">
        <v>837</v>
      </c>
      <c r="G57" s="26" t="s">
        <v>148</v>
      </c>
      <c r="H57" s="26" t="s">
        <v>79</v>
      </c>
      <c r="I57" s="26" t="s">
        <v>79</v>
      </c>
      <c r="J57" s="26" t="s">
        <v>80</v>
      </c>
      <c r="K57" s="26" t="s">
        <v>29</v>
      </c>
      <c r="L57" s="26" t="s">
        <v>14</v>
      </c>
      <c r="M57" s="26"/>
    </row>
    <row r="58" customFormat="false" ht="15" hidden="false" customHeight="false" outlineLevel="0" collapsed="false">
      <c r="A58" s="25" t="s">
        <v>838</v>
      </c>
      <c r="B58" s="26" t="s">
        <v>56</v>
      </c>
      <c r="C58" s="26" t="s">
        <v>358</v>
      </c>
      <c r="D58" s="27" t="s">
        <v>839</v>
      </c>
      <c r="E58" s="26" t="s">
        <v>464</v>
      </c>
      <c r="F58" s="26" t="s">
        <v>840</v>
      </c>
      <c r="G58" s="26" t="s">
        <v>78</v>
      </c>
      <c r="H58" s="26" t="s">
        <v>85</v>
      </c>
      <c r="I58" s="26" t="s">
        <v>86</v>
      </c>
      <c r="J58" s="26" t="s">
        <v>87</v>
      </c>
      <c r="K58" s="26" t="s">
        <v>29</v>
      </c>
      <c r="L58" s="26" t="s">
        <v>14</v>
      </c>
      <c r="M58" s="26"/>
    </row>
    <row r="59" customFormat="false" ht="15" hidden="false" customHeight="false" outlineLevel="0" collapsed="false">
      <c r="A59" s="25" t="s">
        <v>841</v>
      </c>
      <c r="B59" s="26" t="s">
        <v>56</v>
      </c>
      <c r="C59" s="26" t="s">
        <v>396</v>
      </c>
      <c r="D59" s="27" t="s">
        <v>842</v>
      </c>
      <c r="E59" s="26" t="s">
        <v>200</v>
      </c>
      <c r="F59" s="26" t="s">
        <v>843</v>
      </c>
      <c r="G59" s="26" t="s">
        <v>78</v>
      </c>
      <c r="H59" s="26" t="s">
        <v>85</v>
      </c>
      <c r="I59" s="26" t="s">
        <v>22</v>
      </c>
      <c r="J59" s="26" t="s">
        <v>203</v>
      </c>
      <c r="K59" s="26" t="s">
        <v>29</v>
      </c>
      <c r="L59" s="26" t="s">
        <v>22</v>
      </c>
      <c r="M59" s="26"/>
    </row>
    <row r="60" customFormat="false" ht="23.85" hidden="false" customHeight="false" outlineLevel="0" collapsed="false">
      <c r="A60" s="25" t="s">
        <v>844</v>
      </c>
      <c r="B60" s="26" t="s">
        <v>57</v>
      </c>
      <c r="C60" s="26" t="s">
        <v>845</v>
      </c>
      <c r="D60" s="27" t="s">
        <v>846</v>
      </c>
      <c r="E60" s="26" t="s">
        <v>464</v>
      </c>
      <c r="F60" s="26" t="s">
        <v>847</v>
      </c>
      <c r="G60" s="26" t="s">
        <v>848</v>
      </c>
      <c r="H60" s="26" t="s">
        <v>849</v>
      </c>
      <c r="I60" s="26" t="s">
        <v>79</v>
      </c>
      <c r="J60" s="26" t="s">
        <v>80</v>
      </c>
      <c r="K60" s="26" t="s">
        <v>29</v>
      </c>
      <c r="L60" s="26" t="s">
        <v>14</v>
      </c>
      <c r="M60" s="26" t="s">
        <v>850</v>
      </c>
    </row>
    <row r="61" customFormat="false" ht="23.85" hidden="false" customHeight="false" outlineLevel="0" collapsed="false">
      <c r="A61" s="25" t="s">
        <v>851</v>
      </c>
      <c r="B61" s="26" t="s">
        <v>57</v>
      </c>
      <c r="C61" s="26" t="s">
        <v>852</v>
      </c>
      <c r="D61" s="27" t="s">
        <v>853</v>
      </c>
      <c r="E61" s="26" t="s">
        <v>756</v>
      </c>
      <c r="F61" s="26" t="s">
        <v>854</v>
      </c>
      <c r="G61" s="26" t="s">
        <v>100</v>
      </c>
      <c r="H61" s="26" t="s">
        <v>855</v>
      </c>
      <c r="I61" s="26" t="s">
        <v>102</v>
      </c>
      <c r="J61" s="26" t="s">
        <v>103</v>
      </c>
      <c r="K61" s="26" t="s">
        <v>29</v>
      </c>
      <c r="L61" s="26" t="s">
        <v>14</v>
      </c>
      <c r="M61" s="26"/>
    </row>
    <row r="62" customFormat="false" ht="23.85" hidden="false" customHeight="false" outlineLevel="0" collapsed="false">
      <c r="A62" s="25" t="s">
        <v>856</v>
      </c>
      <c r="B62" s="26" t="s">
        <v>57</v>
      </c>
      <c r="C62" s="26" t="s">
        <v>762</v>
      </c>
      <c r="D62" s="27" t="s">
        <v>857</v>
      </c>
      <c r="E62" s="26" t="s">
        <v>858</v>
      </c>
      <c r="F62" s="26" t="s">
        <v>859</v>
      </c>
      <c r="G62" s="26" t="s">
        <v>100</v>
      </c>
      <c r="H62" s="26" t="s">
        <v>633</v>
      </c>
      <c r="I62" s="26" t="s">
        <v>102</v>
      </c>
      <c r="J62" s="26" t="s">
        <v>103</v>
      </c>
      <c r="K62" s="26" t="s">
        <v>31</v>
      </c>
      <c r="L62" s="26" t="s">
        <v>20</v>
      </c>
      <c r="M62" s="26" t="s">
        <v>860</v>
      </c>
    </row>
    <row r="63" customFormat="false" ht="15" hidden="false" customHeight="false" outlineLevel="0" collapsed="false">
      <c r="A63" s="25" t="s">
        <v>861</v>
      </c>
      <c r="B63" s="26" t="s">
        <v>57</v>
      </c>
      <c r="C63" s="26" t="s">
        <v>862</v>
      </c>
      <c r="D63" s="27" t="s">
        <v>863</v>
      </c>
      <c r="E63" s="26" t="s">
        <v>756</v>
      </c>
      <c r="F63" s="26" t="s">
        <v>864</v>
      </c>
      <c r="G63" s="26" t="s">
        <v>78</v>
      </c>
      <c r="H63" s="26" t="s">
        <v>85</v>
      </c>
      <c r="I63" s="26" t="s">
        <v>86</v>
      </c>
      <c r="J63" s="26" t="s">
        <v>87</v>
      </c>
      <c r="K63" s="26" t="s">
        <v>29</v>
      </c>
      <c r="L63" s="26" t="s">
        <v>14</v>
      </c>
      <c r="M63" s="26"/>
    </row>
    <row r="64" customFormat="false" ht="23.85" hidden="false" customHeight="false" outlineLevel="0" collapsed="false">
      <c r="A64" s="25" t="s">
        <v>865</v>
      </c>
      <c r="B64" s="26" t="s">
        <v>57</v>
      </c>
      <c r="C64" s="26" t="s">
        <v>866</v>
      </c>
      <c r="D64" s="27" t="s">
        <v>867</v>
      </c>
      <c r="E64" s="26" t="s">
        <v>868</v>
      </c>
      <c r="F64" s="26" t="s">
        <v>728</v>
      </c>
      <c r="G64" s="26" t="s">
        <v>100</v>
      </c>
      <c r="H64" s="26" t="s">
        <v>79</v>
      </c>
      <c r="I64" s="26" t="s">
        <v>79</v>
      </c>
      <c r="J64" s="26" t="s">
        <v>80</v>
      </c>
      <c r="K64" s="26" t="s">
        <v>31</v>
      </c>
      <c r="L64" s="26" t="s">
        <v>18</v>
      </c>
      <c r="M64" s="26"/>
    </row>
    <row r="65" customFormat="false" ht="23.85" hidden="false" customHeight="false" outlineLevel="0" collapsed="false">
      <c r="A65" s="25" t="s">
        <v>869</v>
      </c>
      <c r="B65" s="26" t="s">
        <v>57</v>
      </c>
      <c r="C65" s="26" t="s">
        <v>870</v>
      </c>
      <c r="D65" s="27" t="s">
        <v>871</v>
      </c>
      <c r="E65" s="26" t="s">
        <v>872</v>
      </c>
      <c r="F65" s="26" t="s">
        <v>873</v>
      </c>
      <c r="G65" s="26" t="s">
        <v>100</v>
      </c>
      <c r="H65" s="26" t="s">
        <v>79</v>
      </c>
      <c r="I65" s="26" t="s">
        <v>79</v>
      </c>
      <c r="J65" s="26" t="s">
        <v>80</v>
      </c>
      <c r="K65" s="26" t="s">
        <v>31</v>
      </c>
      <c r="L65" s="26" t="s">
        <v>14</v>
      </c>
      <c r="M65" s="26"/>
    </row>
    <row r="66" customFormat="false" ht="15" hidden="false" customHeight="false" outlineLevel="0" collapsed="false">
      <c r="A66" s="25" t="s">
        <v>874</v>
      </c>
      <c r="B66" s="26" t="s">
        <v>57</v>
      </c>
      <c r="C66" s="26" t="s">
        <v>358</v>
      </c>
      <c r="D66" s="27" t="s">
        <v>875</v>
      </c>
      <c r="E66" s="26" t="s">
        <v>876</v>
      </c>
      <c r="F66" s="26" t="s">
        <v>124</v>
      </c>
      <c r="G66" s="26" t="s">
        <v>78</v>
      </c>
      <c r="H66" s="26" t="s">
        <v>85</v>
      </c>
      <c r="I66" s="26" t="s">
        <v>86</v>
      </c>
      <c r="J66" s="26" t="s">
        <v>87</v>
      </c>
      <c r="K66" s="26" t="s">
        <v>31</v>
      </c>
      <c r="L66" s="26" t="s">
        <v>18</v>
      </c>
      <c r="M66" s="26"/>
    </row>
    <row r="67" customFormat="false" ht="23.85" hidden="false" customHeight="false" outlineLevel="0" collapsed="false">
      <c r="A67" s="25" t="s">
        <v>877</v>
      </c>
      <c r="B67" s="26" t="s">
        <v>58</v>
      </c>
      <c r="C67" s="26" t="s">
        <v>127</v>
      </c>
      <c r="D67" s="27" t="s">
        <v>878</v>
      </c>
      <c r="E67" s="26" t="s">
        <v>464</v>
      </c>
      <c r="F67" s="26" t="s">
        <v>879</v>
      </c>
      <c r="G67" s="26" t="s">
        <v>100</v>
      </c>
      <c r="H67" s="26" t="s">
        <v>79</v>
      </c>
      <c r="I67" s="26" t="s">
        <v>79</v>
      </c>
      <c r="J67" s="26" t="s">
        <v>80</v>
      </c>
      <c r="K67" s="26" t="s">
        <v>29</v>
      </c>
      <c r="L67" s="26" t="s">
        <v>14</v>
      </c>
      <c r="M67" s="26" t="s">
        <v>880</v>
      </c>
    </row>
    <row r="68" customFormat="false" ht="23.85" hidden="false" customHeight="false" outlineLevel="0" collapsed="false">
      <c r="A68" s="25" t="s">
        <v>881</v>
      </c>
      <c r="B68" s="26" t="s">
        <v>58</v>
      </c>
      <c r="C68" s="26" t="s">
        <v>127</v>
      </c>
      <c r="D68" s="27" t="s">
        <v>882</v>
      </c>
      <c r="E68" s="26" t="s">
        <v>665</v>
      </c>
      <c r="F68" s="26" t="s">
        <v>883</v>
      </c>
      <c r="G68" s="26" t="s">
        <v>100</v>
      </c>
      <c r="H68" s="26" t="s">
        <v>79</v>
      </c>
      <c r="I68" s="26" t="s">
        <v>79</v>
      </c>
      <c r="J68" s="26" t="s">
        <v>80</v>
      </c>
      <c r="K68" s="26" t="s">
        <v>31</v>
      </c>
      <c r="L68" s="26" t="s">
        <v>18</v>
      </c>
      <c r="M68" s="26"/>
    </row>
    <row r="69" customFormat="false" ht="23.85" hidden="false" customHeight="false" outlineLevel="0" collapsed="false">
      <c r="A69" s="25" t="s">
        <v>884</v>
      </c>
      <c r="B69" s="26" t="s">
        <v>58</v>
      </c>
      <c r="C69" s="26" t="s">
        <v>472</v>
      </c>
      <c r="D69" s="27" t="s">
        <v>885</v>
      </c>
      <c r="E69" s="26" t="s">
        <v>886</v>
      </c>
      <c r="F69" s="26" t="s">
        <v>887</v>
      </c>
      <c r="G69" s="26" t="s">
        <v>78</v>
      </c>
      <c r="H69" s="26" t="s">
        <v>745</v>
      </c>
      <c r="I69" s="26" t="s">
        <v>165</v>
      </c>
      <c r="J69" s="26" t="s">
        <v>166</v>
      </c>
      <c r="K69" s="26" t="s">
        <v>29</v>
      </c>
      <c r="L69" s="26" t="s">
        <v>14</v>
      </c>
      <c r="M69" s="26"/>
    </row>
    <row r="70" customFormat="false" ht="15" hidden="false" customHeight="false" outlineLevel="0" collapsed="false">
      <c r="A70" s="25" t="s">
        <v>888</v>
      </c>
      <c r="B70" s="26" t="s">
        <v>58</v>
      </c>
      <c r="C70" s="26" t="s">
        <v>493</v>
      </c>
      <c r="D70" s="27" t="s">
        <v>889</v>
      </c>
      <c r="E70" s="26" t="s">
        <v>703</v>
      </c>
      <c r="F70" s="26" t="s">
        <v>890</v>
      </c>
      <c r="G70" s="26" t="s">
        <v>100</v>
      </c>
      <c r="H70" s="26" t="s">
        <v>891</v>
      </c>
      <c r="I70" s="26" t="s">
        <v>86</v>
      </c>
      <c r="J70" s="26" t="s">
        <v>87</v>
      </c>
      <c r="K70" s="26" t="s">
        <v>29</v>
      </c>
      <c r="L70" s="26" t="s">
        <v>14</v>
      </c>
      <c r="M70" s="26"/>
    </row>
    <row r="71" customFormat="false" ht="15" hidden="false" customHeight="false" outlineLevel="0" collapsed="false">
      <c r="A71" s="25" t="s">
        <v>892</v>
      </c>
      <c r="B71" s="26" t="s">
        <v>58</v>
      </c>
      <c r="C71" s="26" t="s">
        <v>472</v>
      </c>
      <c r="D71" s="27" t="s">
        <v>893</v>
      </c>
      <c r="E71" s="26" t="s">
        <v>200</v>
      </c>
      <c r="F71" s="26" t="s">
        <v>894</v>
      </c>
      <c r="G71" s="26" t="s">
        <v>78</v>
      </c>
      <c r="H71" s="26" t="s">
        <v>85</v>
      </c>
      <c r="I71" s="26" t="s">
        <v>22</v>
      </c>
      <c r="J71" s="26" t="s">
        <v>203</v>
      </c>
      <c r="K71" s="26" t="s">
        <v>29</v>
      </c>
      <c r="L71" s="26" t="s">
        <v>22</v>
      </c>
      <c r="M71" s="26"/>
    </row>
    <row r="72" customFormat="false" ht="15" hidden="false" customHeight="false" outlineLevel="0" collapsed="false">
      <c r="A72" s="25" t="s">
        <v>895</v>
      </c>
      <c r="B72" s="26" t="s">
        <v>58</v>
      </c>
      <c r="C72" s="26" t="s">
        <v>472</v>
      </c>
      <c r="D72" s="27" t="s">
        <v>896</v>
      </c>
      <c r="E72" s="26" t="s">
        <v>464</v>
      </c>
      <c r="F72" s="26" t="s">
        <v>897</v>
      </c>
      <c r="G72" s="26" t="s">
        <v>78</v>
      </c>
      <c r="H72" s="26" t="s">
        <v>85</v>
      </c>
      <c r="I72" s="26" t="s">
        <v>86</v>
      </c>
      <c r="J72" s="26" t="s">
        <v>87</v>
      </c>
      <c r="K72" s="26" t="s">
        <v>29</v>
      </c>
      <c r="L72" s="26" t="s">
        <v>14</v>
      </c>
      <c r="M72" s="26"/>
    </row>
    <row r="73" customFormat="false" ht="15" hidden="false" customHeight="false" outlineLevel="0" collapsed="false">
      <c r="A73" s="25" t="s">
        <v>898</v>
      </c>
      <c r="B73" s="26" t="s">
        <v>58</v>
      </c>
      <c r="C73" s="26" t="s">
        <v>899</v>
      </c>
      <c r="D73" s="27" t="s">
        <v>900</v>
      </c>
      <c r="E73" s="26" t="s">
        <v>901</v>
      </c>
      <c r="F73" s="26" t="s">
        <v>902</v>
      </c>
      <c r="G73" s="26" t="s">
        <v>78</v>
      </c>
      <c r="H73" s="26" t="s">
        <v>85</v>
      </c>
      <c r="I73" s="26" t="s">
        <v>86</v>
      </c>
      <c r="J73" s="26" t="s">
        <v>87</v>
      </c>
      <c r="K73" s="26" t="s">
        <v>31</v>
      </c>
      <c r="L73" s="26" t="s">
        <v>14</v>
      </c>
      <c r="M73" s="26"/>
    </row>
    <row r="74" customFormat="false" ht="23.85" hidden="false" customHeight="false" outlineLevel="0" collapsed="false">
      <c r="A74" s="25" t="s">
        <v>903</v>
      </c>
      <c r="B74" s="26" t="s">
        <v>58</v>
      </c>
      <c r="C74" s="26" t="s">
        <v>358</v>
      </c>
      <c r="D74" s="27" t="s">
        <v>904</v>
      </c>
      <c r="E74" s="26" t="s">
        <v>905</v>
      </c>
      <c r="F74" s="26" t="s">
        <v>906</v>
      </c>
      <c r="G74" s="26" t="s">
        <v>100</v>
      </c>
      <c r="H74" s="26" t="s">
        <v>745</v>
      </c>
      <c r="I74" s="26" t="s">
        <v>165</v>
      </c>
      <c r="J74" s="26" t="s">
        <v>166</v>
      </c>
      <c r="K74" s="26" t="s">
        <v>29</v>
      </c>
      <c r="L74" s="26" t="s">
        <v>14</v>
      </c>
      <c r="M74" s="26"/>
    </row>
    <row r="75" customFormat="false" ht="15" hidden="false" customHeight="false" outlineLevel="0" collapsed="false">
      <c r="A75" s="25" t="s">
        <v>907</v>
      </c>
      <c r="B75" s="26" t="s">
        <v>58</v>
      </c>
      <c r="C75" s="26" t="s">
        <v>358</v>
      </c>
      <c r="D75" s="27" t="s">
        <v>908</v>
      </c>
      <c r="E75" s="26" t="s">
        <v>909</v>
      </c>
      <c r="F75" s="26" t="s">
        <v>830</v>
      </c>
      <c r="G75" s="26" t="s">
        <v>910</v>
      </c>
      <c r="H75" s="26" t="s">
        <v>85</v>
      </c>
      <c r="I75" s="26" t="s">
        <v>86</v>
      </c>
      <c r="J75" s="26" t="s">
        <v>87</v>
      </c>
      <c r="K75" s="26" t="s">
        <v>31</v>
      </c>
      <c r="L75" s="26" t="s">
        <v>18</v>
      </c>
      <c r="M75" s="26"/>
    </row>
    <row r="76" customFormat="false" ht="15" hidden="false" customHeight="false" outlineLevel="0" collapsed="false">
      <c r="A76" s="25" t="s">
        <v>911</v>
      </c>
      <c r="B76" s="26" t="s">
        <v>58</v>
      </c>
      <c r="C76" s="26" t="s">
        <v>358</v>
      </c>
      <c r="D76" s="27" t="s">
        <v>912</v>
      </c>
      <c r="E76" s="26" t="s">
        <v>464</v>
      </c>
      <c r="F76" s="26" t="s">
        <v>913</v>
      </c>
      <c r="G76" s="26" t="s">
        <v>78</v>
      </c>
      <c r="H76" s="26" t="s">
        <v>85</v>
      </c>
      <c r="I76" s="26" t="s">
        <v>86</v>
      </c>
      <c r="J76" s="26" t="s">
        <v>87</v>
      </c>
      <c r="K76" s="26" t="s">
        <v>29</v>
      </c>
      <c r="L76" s="26" t="s">
        <v>14</v>
      </c>
      <c r="M76" s="26"/>
    </row>
    <row r="77" customFormat="false" ht="23.85" hidden="false" customHeight="false" outlineLevel="0" collapsed="false">
      <c r="A77" s="25" t="s">
        <v>914</v>
      </c>
      <c r="B77" s="26" t="s">
        <v>59</v>
      </c>
      <c r="C77" s="26" t="s">
        <v>915</v>
      </c>
      <c r="D77" s="27" t="s">
        <v>916</v>
      </c>
      <c r="E77" s="26" t="s">
        <v>703</v>
      </c>
      <c r="F77" s="26" t="s">
        <v>917</v>
      </c>
      <c r="G77" s="26" t="s">
        <v>78</v>
      </c>
      <c r="H77" s="26" t="s">
        <v>745</v>
      </c>
      <c r="I77" s="26" t="s">
        <v>102</v>
      </c>
      <c r="J77" s="26" t="s">
        <v>103</v>
      </c>
      <c r="K77" s="26" t="s">
        <v>29</v>
      </c>
      <c r="L77" s="26" t="s">
        <v>14</v>
      </c>
      <c r="M77" s="26"/>
    </row>
    <row r="78" customFormat="false" ht="15" hidden="false" customHeight="false" outlineLevel="0" collapsed="false">
      <c r="A78" s="25" t="s">
        <v>918</v>
      </c>
      <c r="B78" s="26" t="s">
        <v>59</v>
      </c>
      <c r="C78" s="26" t="s">
        <v>915</v>
      </c>
      <c r="D78" s="27" t="s">
        <v>919</v>
      </c>
      <c r="E78" s="26" t="s">
        <v>920</v>
      </c>
      <c r="F78" s="26" t="s">
        <v>921</v>
      </c>
      <c r="G78" s="26" t="s">
        <v>78</v>
      </c>
      <c r="H78" s="26" t="s">
        <v>79</v>
      </c>
      <c r="I78" s="26" t="s">
        <v>22</v>
      </c>
      <c r="J78" s="26" t="s">
        <v>203</v>
      </c>
      <c r="K78" s="26" t="s">
        <v>29</v>
      </c>
      <c r="L78" s="26" t="s">
        <v>22</v>
      </c>
      <c r="M78" s="26" t="s">
        <v>922</v>
      </c>
    </row>
    <row r="79" customFormat="false" ht="23.85" hidden="false" customHeight="false" outlineLevel="0" collapsed="false">
      <c r="A79" s="25" t="s">
        <v>923</v>
      </c>
      <c r="B79" s="26" t="s">
        <v>59</v>
      </c>
      <c r="C79" s="26" t="s">
        <v>915</v>
      </c>
      <c r="D79" s="27" t="s">
        <v>924</v>
      </c>
      <c r="E79" s="26" t="s">
        <v>925</v>
      </c>
      <c r="F79" s="26" t="s">
        <v>926</v>
      </c>
      <c r="G79" s="26" t="s">
        <v>78</v>
      </c>
      <c r="H79" s="26" t="s">
        <v>467</v>
      </c>
      <c r="I79" s="26" t="s">
        <v>102</v>
      </c>
      <c r="J79" s="26" t="s">
        <v>103</v>
      </c>
      <c r="K79" s="26" t="s">
        <v>31</v>
      </c>
      <c r="L79" s="26" t="s">
        <v>18</v>
      </c>
      <c r="M79" s="26"/>
    </row>
    <row r="80" customFormat="false" ht="15" hidden="false" customHeight="false" outlineLevel="0" collapsed="false">
      <c r="A80" s="25" t="s">
        <v>927</v>
      </c>
      <c r="B80" s="26" t="s">
        <v>59</v>
      </c>
      <c r="C80" s="26" t="s">
        <v>928</v>
      </c>
      <c r="D80" s="27" t="s">
        <v>929</v>
      </c>
      <c r="E80" s="26" t="s">
        <v>200</v>
      </c>
      <c r="F80" s="26" t="s">
        <v>930</v>
      </c>
      <c r="G80" s="26" t="s">
        <v>78</v>
      </c>
      <c r="H80" s="26" t="s">
        <v>85</v>
      </c>
      <c r="I80" s="26" t="s">
        <v>22</v>
      </c>
      <c r="J80" s="26" t="s">
        <v>203</v>
      </c>
      <c r="K80" s="26" t="s">
        <v>29</v>
      </c>
      <c r="L80" s="26" t="s">
        <v>22</v>
      </c>
      <c r="M80" s="26"/>
    </row>
    <row r="81" customFormat="false" ht="23.85" hidden="false" customHeight="false" outlineLevel="0" collapsed="false">
      <c r="A81" s="25" t="s">
        <v>931</v>
      </c>
      <c r="B81" s="26" t="s">
        <v>59</v>
      </c>
      <c r="C81" s="26" t="s">
        <v>527</v>
      </c>
      <c r="D81" s="27" t="s">
        <v>932</v>
      </c>
      <c r="E81" s="26" t="s">
        <v>703</v>
      </c>
      <c r="F81" s="26" t="s">
        <v>933</v>
      </c>
      <c r="G81" s="26" t="s">
        <v>78</v>
      </c>
      <c r="H81" s="26" t="s">
        <v>745</v>
      </c>
      <c r="I81" s="26" t="s">
        <v>102</v>
      </c>
      <c r="J81" s="26" t="s">
        <v>103</v>
      </c>
      <c r="K81" s="26" t="s">
        <v>29</v>
      </c>
      <c r="L81" s="26" t="s">
        <v>14</v>
      </c>
      <c r="M81" s="26"/>
    </row>
    <row r="82" customFormat="false" ht="15" hidden="false" customHeight="false" outlineLevel="0" collapsed="false">
      <c r="A82" s="25" t="s">
        <v>934</v>
      </c>
      <c r="B82" s="26" t="s">
        <v>59</v>
      </c>
      <c r="C82" s="26" t="s">
        <v>527</v>
      </c>
      <c r="D82" s="27" t="s">
        <v>935</v>
      </c>
      <c r="E82" s="26" t="s">
        <v>936</v>
      </c>
      <c r="F82" s="26" t="s">
        <v>937</v>
      </c>
      <c r="G82" s="26" t="s">
        <v>100</v>
      </c>
      <c r="H82" s="26" t="s">
        <v>85</v>
      </c>
      <c r="I82" s="26" t="s">
        <v>86</v>
      </c>
      <c r="J82" s="26" t="s">
        <v>87</v>
      </c>
      <c r="K82" s="26" t="s">
        <v>31</v>
      </c>
      <c r="L82" s="26" t="s">
        <v>18</v>
      </c>
      <c r="M82" s="26"/>
    </row>
    <row r="83" customFormat="false" ht="23.85" hidden="false" customHeight="false" outlineLevel="0" collapsed="false">
      <c r="A83" s="25" t="s">
        <v>938</v>
      </c>
      <c r="B83" s="26" t="s">
        <v>59</v>
      </c>
      <c r="C83" s="26" t="s">
        <v>939</v>
      </c>
      <c r="D83" s="27" t="s">
        <v>940</v>
      </c>
      <c r="E83" s="26" t="s">
        <v>886</v>
      </c>
      <c r="F83" s="26" t="s">
        <v>16</v>
      </c>
      <c r="G83" s="26" t="s">
        <v>78</v>
      </c>
      <c r="H83" s="26" t="s">
        <v>745</v>
      </c>
      <c r="I83" s="26" t="s">
        <v>165</v>
      </c>
      <c r="J83" s="26" t="s">
        <v>166</v>
      </c>
      <c r="K83" s="26" t="s">
        <v>31</v>
      </c>
      <c r="L83" s="26" t="s">
        <v>16</v>
      </c>
      <c r="M83" s="26"/>
    </row>
    <row r="84" customFormat="false" ht="23.85" hidden="false" customHeight="false" outlineLevel="0" collapsed="false">
      <c r="A84" s="25" t="s">
        <v>941</v>
      </c>
      <c r="B84" s="26" t="s">
        <v>59</v>
      </c>
      <c r="C84" s="26" t="s">
        <v>515</v>
      </c>
      <c r="D84" s="27" t="s">
        <v>942</v>
      </c>
      <c r="E84" s="26" t="s">
        <v>943</v>
      </c>
      <c r="F84" s="26" t="s">
        <v>124</v>
      </c>
      <c r="G84" s="26" t="s">
        <v>100</v>
      </c>
      <c r="H84" s="26" t="s">
        <v>944</v>
      </c>
      <c r="I84" s="26" t="s">
        <v>102</v>
      </c>
      <c r="J84" s="26" t="s">
        <v>103</v>
      </c>
      <c r="K84" s="26" t="s">
        <v>31</v>
      </c>
      <c r="L84" s="26" t="s">
        <v>20</v>
      </c>
      <c r="M84" s="26" t="s">
        <v>945</v>
      </c>
    </row>
    <row r="85" customFormat="false" ht="23.85" hidden="false" customHeight="false" outlineLevel="0" collapsed="false">
      <c r="A85" s="25" t="s">
        <v>946</v>
      </c>
      <c r="B85" s="26" t="s">
        <v>60</v>
      </c>
      <c r="C85" s="26" t="s">
        <v>396</v>
      </c>
      <c r="D85" s="27" t="s">
        <v>947</v>
      </c>
      <c r="E85" s="26" t="s">
        <v>464</v>
      </c>
      <c r="F85" s="26" t="s">
        <v>948</v>
      </c>
      <c r="G85" s="26" t="s">
        <v>78</v>
      </c>
      <c r="H85" s="26" t="s">
        <v>85</v>
      </c>
      <c r="I85" s="26" t="s">
        <v>86</v>
      </c>
      <c r="J85" s="26" t="s">
        <v>87</v>
      </c>
      <c r="K85" s="26" t="s">
        <v>29</v>
      </c>
      <c r="L85" s="26" t="s">
        <v>14</v>
      </c>
      <c r="M85" s="26"/>
    </row>
    <row r="86" customFormat="false" ht="23.85" hidden="false" customHeight="false" outlineLevel="0" collapsed="false">
      <c r="A86" s="25" t="s">
        <v>949</v>
      </c>
      <c r="B86" s="26" t="s">
        <v>60</v>
      </c>
      <c r="C86" s="26" t="s">
        <v>414</v>
      </c>
      <c r="D86" s="27" t="s">
        <v>950</v>
      </c>
      <c r="E86" s="26" t="s">
        <v>951</v>
      </c>
      <c r="F86" s="26" t="s">
        <v>952</v>
      </c>
      <c r="G86" s="26" t="s">
        <v>953</v>
      </c>
      <c r="H86" s="26" t="s">
        <v>386</v>
      </c>
      <c r="I86" s="26" t="s">
        <v>86</v>
      </c>
      <c r="J86" s="26" t="s">
        <v>87</v>
      </c>
      <c r="K86" s="26" t="s">
        <v>31</v>
      </c>
      <c r="L86" s="26" t="s">
        <v>18</v>
      </c>
      <c r="M86" s="26"/>
    </row>
    <row r="87" customFormat="false" ht="23.85" hidden="false" customHeight="false" outlineLevel="0" collapsed="false">
      <c r="A87" s="25" t="s">
        <v>954</v>
      </c>
      <c r="B87" s="26" t="s">
        <v>60</v>
      </c>
      <c r="C87" s="26" t="s">
        <v>414</v>
      </c>
      <c r="D87" s="27" t="s">
        <v>955</v>
      </c>
      <c r="E87" s="26" t="s">
        <v>956</v>
      </c>
      <c r="F87" s="26" t="s">
        <v>420</v>
      </c>
      <c r="G87" s="26" t="s">
        <v>957</v>
      </c>
      <c r="H87" s="26" t="s">
        <v>386</v>
      </c>
      <c r="I87" s="26" t="s">
        <v>86</v>
      </c>
      <c r="J87" s="26" t="s">
        <v>87</v>
      </c>
      <c r="K87" s="26" t="s">
        <v>31</v>
      </c>
      <c r="L87" s="26" t="s">
        <v>18</v>
      </c>
      <c r="M87" s="26" t="s">
        <v>958</v>
      </c>
    </row>
    <row r="88" customFormat="false" ht="23.85" hidden="false" customHeight="false" outlineLevel="0" collapsed="false">
      <c r="A88" s="25" t="s">
        <v>959</v>
      </c>
      <c r="B88" s="26" t="s">
        <v>60</v>
      </c>
      <c r="C88" s="26" t="s">
        <v>960</v>
      </c>
      <c r="D88" s="27" t="s">
        <v>961</v>
      </c>
      <c r="E88" s="26" t="s">
        <v>756</v>
      </c>
      <c r="F88" s="26" t="s">
        <v>962</v>
      </c>
      <c r="G88" s="26" t="s">
        <v>100</v>
      </c>
      <c r="H88" s="26" t="s">
        <v>427</v>
      </c>
      <c r="I88" s="26" t="s">
        <v>102</v>
      </c>
      <c r="J88" s="26" t="s">
        <v>103</v>
      </c>
      <c r="K88" s="26" t="s">
        <v>29</v>
      </c>
      <c r="L88" s="26" t="s">
        <v>14</v>
      </c>
      <c r="M88" s="26"/>
    </row>
    <row r="89" customFormat="false" ht="23.85" hidden="false" customHeight="false" outlineLevel="0" collapsed="false">
      <c r="A89" s="25" t="s">
        <v>963</v>
      </c>
      <c r="B89" s="26" t="s">
        <v>60</v>
      </c>
      <c r="C89" s="26" t="s">
        <v>960</v>
      </c>
      <c r="D89" s="27" t="s">
        <v>964</v>
      </c>
      <c r="E89" s="26" t="s">
        <v>200</v>
      </c>
      <c r="F89" s="26" t="s">
        <v>965</v>
      </c>
      <c r="G89" s="26" t="s">
        <v>78</v>
      </c>
      <c r="H89" s="26" t="s">
        <v>85</v>
      </c>
      <c r="I89" s="26" t="s">
        <v>22</v>
      </c>
      <c r="J89" s="26" t="s">
        <v>203</v>
      </c>
      <c r="K89" s="26" t="s">
        <v>29</v>
      </c>
      <c r="L89" s="26" t="s">
        <v>22</v>
      </c>
      <c r="M89" s="26"/>
    </row>
    <row r="90" customFormat="false" ht="23.85" hidden="false" customHeight="false" outlineLevel="0" collapsed="false">
      <c r="A90" s="25" t="s">
        <v>966</v>
      </c>
      <c r="B90" s="26" t="s">
        <v>60</v>
      </c>
      <c r="C90" s="26" t="s">
        <v>960</v>
      </c>
      <c r="D90" s="27" t="s">
        <v>967</v>
      </c>
      <c r="E90" s="26" t="s">
        <v>968</v>
      </c>
      <c r="F90" s="26" t="s">
        <v>969</v>
      </c>
      <c r="G90" s="26" t="s">
        <v>100</v>
      </c>
      <c r="H90" s="26" t="s">
        <v>427</v>
      </c>
      <c r="I90" s="26" t="s">
        <v>102</v>
      </c>
      <c r="J90" s="26" t="s">
        <v>103</v>
      </c>
      <c r="K90" s="26" t="s">
        <v>31</v>
      </c>
      <c r="L90" s="26" t="s">
        <v>14</v>
      </c>
      <c r="M90" s="26"/>
    </row>
    <row r="91" customFormat="false" ht="23.85" hidden="false" customHeight="false" outlineLevel="0" collapsed="false">
      <c r="A91" s="25" t="s">
        <v>970</v>
      </c>
      <c r="B91" s="26" t="s">
        <v>60</v>
      </c>
      <c r="C91" s="26" t="s">
        <v>960</v>
      </c>
      <c r="D91" s="27" t="s">
        <v>971</v>
      </c>
      <c r="E91" s="26" t="s">
        <v>200</v>
      </c>
      <c r="F91" s="26" t="s">
        <v>972</v>
      </c>
      <c r="G91" s="26" t="s">
        <v>78</v>
      </c>
      <c r="H91" s="26" t="s">
        <v>85</v>
      </c>
      <c r="I91" s="26" t="s">
        <v>22</v>
      </c>
      <c r="J91" s="26" t="s">
        <v>203</v>
      </c>
      <c r="K91" s="26" t="s">
        <v>29</v>
      </c>
      <c r="L91" s="26" t="s">
        <v>22</v>
      </c>
      <c r="M91" s="26" t="s">
        <v>973</v>
      </c>
    </row>
    <row r="92" customFormat="false" ht="23.85" hidden="false" customHeight="false" outlineLevel="0" collapsed="false">
      <c r="A92" s="25" t="s">
        <v>974</v>
      </c>
      <c r="B92" s="26" t="s">
        <v>60</v>
      </c>
      <c r="C92" s="26" t="s">
        <v>975</v>
      </c>
      <c r="D92" s="27" t="s">
        <v>976</v>
      </c>
      <c r="E92" s="26" t="s">
        <v>977</v>
      </c>
      <c r="F92" s="26" t="s">
        <v>978</v>
      </c>
      <c r="G92" s="26" t="s">
        <v>148</v>
      </c>
      <c r="H92" s="26" t="s">
        <v>979</v>
      </c>
      <c r="I92" s="26" t="s">
        <v>165</v>
      </c>
      <c r="J92" s="26" t="s">
        <v>166</v>
      </c>
      <c r="K92" s="26" t="s">
        <v>29</v>
      </c>
      <c r="L92" s="26" t="s">
        <v>14</v>
      </c>
      <c r="M92" s="26"/>
    </row>
    <row r="93" customFormat="false" ht="23.85" hidden="false" customHeight="false" outlineLevel="0" collapsed="false">
      <c r="A93" s="25" t="s">
        <v>980</v>
      </c>
      <c r="B93" s="26" t="s">
        <v>60</v>
      </c>
      <c r="C93" s="26" t="s">
        <v>448</v>
      </c>
      <c r="D93" s="27" t="s">
        <v>981</v>
      </c>
      <c r="E93" s="26" t="s">
        <v>982</v>
      </c>
      <c r="F93" s="26" t="s">
        <v>124</v>
      </c>
      <c r="G93" s="26" t="s">
        <v>140</v>
      </c>
      <c r="H93" s="26" t="s">
        <v>79</v>
      </c>
      <c r="I93" s="26" t="s">
        <v>79</v>
      </c>
      <c r="J93" s="26" t="s">
        <v>80</v>
      </c>
      <c r="K93" s="26" t="s">
        <v>31</v>
      </c>
      <c r="L93" s="26" t="s">
        <v>20</v>
      </c>
      <c r="M93" s="26" t="s">
        <v>983</v>
      </c>
    </row>
    <row r="94" customFormat="false" ht="23.85" hidden="false" customHeight="false" outlineLevel="0" collapsed="false">
      <c r="A94" s="25" t="s">
        <v>984</v>
      </c>
      <c r="B94" s="26" t="s">
        <v>60</v>
      </c>
      <c r="C94" s="26" t="s">
        <v>448</v>
      </c>
      <c r="D94" s="27" t="s">
        <v>985</v>
      </c>
      <c r="E94" s="26" t="s">
        <v>464</v>
      </c>
      <c r="F94" s="26" t="s">
        <v>986</v>
      </c>
      <c r="G94" s="26" t="s">
        <v>140</v>
      </c>
      <c r="H94" s="26" t="s">
        <v>79</v>
      </c>
      <c r="I94" s="26" t="s">
        <v>79</v>
      </c>
      <c r="J94" s="26" t="s">
        <v>80</v>
      </c>
      <c r="K94" s="26" t="s">
        <v>29</v>
      </c>
      <c r="L94" s="26" t="s">
        <v>14</v>
      </c>
      <c r="M94" s="26" t="s">
        <v>987</v>
      </c>
    </row>
    <row r="95" customFormat="false" ht="23.85" hidden="false" customHeight="false" outlineLevel="0" collapsed="false">
      <c r="A95" s="25" t="s">
        <v>988</v>
      </c>
      <c r="B95" s="26" t="s">
        <v>61</v>
      </c>
      <c r="C95" s="26" t="s">
        <v>989</v>
      </c>
      <c r="D95" s="27" t="s">
        <v>990</v>
      </c>
      <c r="E95" s="26" t="s">
        <v>991</v>
      </c>
      <c r="F95" s="26" t="s">
        <v>992</v>
      </c>
      <c r="G95" s="26" t="s">
        <v>140</v>
      </c>
      <c r="H95" s="26" t="s">
        <v>79</v>
      </c>
      <c r="I95" s="26" t="s">
        <v>79</v>
      </c>
      <c r="J95" s="26" t="s">
        <v>80</v>
      </c>
      <c r="K95" s="26" t="s">
        <v>29</v>
      </c>
      <c r="L95" s="26" t="s">
        <v>14</v>
      </c>
      <c r="M95" s="26"/>
    </row>
    <row r="96" customFormat="false" ht="23.85" hidden="false" customHeight="false" outlineLevel="0" collapsed="false">
      <c r="A96" s="25" t="s">
        <v>993</v>
      </c>
      <c r="B96" s="26" t="s">
        <v>61</v>
      </c>
      <c r="C96" s="26" t="s">
        <v>989</v>
      </c>
      <c r="D96" s="27" t="s">
        <v>994</v>
      </c>
      <c r="E96" s="26" t="s">
        <v>982</v>
      </c>
      <c r="F96" s="26" t="s">
        <v>124</v>
      </c>
      <c r="G96" s="26" t="s">
        <v>140</v>
      </c>
      <c r="H96" s="26" t="s">
        <v>79</v>
      </c>
      <c r="I96" s="26" t="s">
        <v>79</v>
      </c>
      <c r="J96" s="26" t="s">
        <v>80</v>
      </c>
      <c r="K96" s="26" t="s">
        <v>31</v>
      </c>
      <c r="L96" s="26" t="s">
        <v>20</v>
      </c>
      <c r="M96" s="26"/>
    </row>
    <row r="97" customFormat="false" ht="15" hidden="false" customHeight="false" outlineLevel="0" collapsed="false">
      <c r="A97" s="25" t="s">
        <v>995</v>
      </c>
      <c r="B97" s="26" t="s">
        <v>61</v>
      </c>
      <c r="C97" s="26" t="s">
        <v>358</v>
      </c>
      <c r="D97" s="27" t="s">
        <v>996</v>
      </c>
      <c r="E97" s="26" t="s">
        <v>464</v>
      </c>
      <c r="F97" s="26" t="s">
        <v>997</v>
      </c>
      <c r="G97" s="26" t="s">
        <v>140</v>
      </c>
      <c r="H97" s="26" t="s">
        <v>85</v>
      </c>
      <c r="I97" s="26" t="s">
        <v>86</v>
      </c>
      <c r="J97" s="26" t="s">
        <v>87</v>
      </c>
      <c r="K97" s="26" t="s">
        <v>29</v>
      </c>
      <c r="L97" s="26" t="s">
        <v>14</v>
      </c>
      <c r="M97" s="26" t="s">
        <v>998</v>
      </c>
    </row>
    <row r="98" customFormat="false" ht="15" hidden="false" customHeight="false" outlineLevel="0" collapsed="false">
      <c r="A98" s="25" t="s">
        <v>999</v>
      </c>
      <c r="B98" s="26" t="s">
        <v>61</v>
      </c>
      <c r="C98" s="26" t="s">
        <v>928</v>
      </c>
      <c r="D98" s="27" t="s">
        <v>1000</v>
      </c>
      <c r="E98" s="26" t="s">
        <v>1001</v>
      </c>
      <c r="F98" s="26" t="s">
        <v>1002</v>
      </c>
      <c r="G98" s="26" t="s">
        <v>100</v>
      </c>
      <c r="H98" s="26" t="s">
        <v>85</v>
      </c>
      <c r="I98" s="26" t="s">
        <v>22</v>
      </c>
      <c r="J98" s="26" t="s">
        <v>203</v>
      </c>
      <c r="K98" s="26" t="s">
        <v>29</v>
      </c>
      <c r="L98" s="26" t="s">
        <v>22</v>
      </c>
      <c r="M98" s="26"/>
    </row>
    <row r="99" customFormat="false" ht="15" hidden="false" customHeight="false" outlineLevel="0" collapsed="false">
      <c r="A99" s="25" t="s">
        <v>1003</v>
      </c>
      <c r="B99" s="26" t="s">
        <v>61</v>
      </c>
      <c r="C99" s="26" t="s">
        <v>358</v>
      </c>
      <c r="D99" s="27" t="s">
        <v>1004</v>
      </c>
      <c r="E99" s="26" t="s">
        <v>200</v>
      </c>
      <c r="F99" s="26" t="s">
        <v>1005</v>
      </c>
      <c r="G99" s="26" t="s">
        <v>140</v>
      </c>
      <c r="H99" s="26" t="s">
        <v>85</v>
      </c>
      <c r="I99" s="26" t="s">
        <v>22</v>
      </c>
      <c r="J99" s="26" t="s">
        <v>203</v>
      </c>
      <c r="K99" s="26" t="s">
        <v>29</v>
      </c>
      <c r="L99" s="26" t="s">
        <v>22</v>
      </c>
      <c r="M99" s="26"/>
    </row>
    <row r="100" customFormat="false" ht="15" hidden="false" customHeight="false" outlineLevel="0" collapsed="false">
      <c r="A100" s="25" t="s">
        <v>1006</v>
      </c>
      <c r="B100" s="26" t="s">
        <v>61</v>
      </c>
      <c r="C100" s="26" t="s">
        <v>1007</v>
      </c>
      <c r="D100" s="27" t="s">
        <v>1008</v>
      </c>
      <c r="E100" s="26" t="s">
        <v>464</v>
      </c>
      <c r="F100" s="26" t="s">
        <v>1009</v>
      </c>
      <c r="G100" s="26" t="s">
        <v>100</v>
      </c>
      <c r="H100" s="26" t="s">
        <v>85</v>
      </c>
      <c r="I100" s="26" t="s">
        <v>86</v>
      </c>
      <c r="J100" s="26" t="s">
        <v>87</v>
      </c>
      <c r="K100" s="26" t="s">
        <v>29</v>
      </c>
      <c r="L100" s="26" t="s">
        <v>14</v>
      </c>
      <c r="M100" s="26"/>
    </row>
    <row r="101" customFormat="false" ht="23.85" hidden="false" customHeight="false" outlineLevel="0" collapsed="false">
      <c r="A101" s="25" t="s">
        <v>1010</v>
      </c>
      <c r="B101" s="26" t="s">
        <v>61</v>
      </c>
      <c r="C101" s="26" t="s">
        <v>531</v>
      </c>
      <c r="D101" s="27" t="s">
        <v>1011</v>
      </c>
      <c r="E101" s="26" t="s">
        <v>1012</v>
      </c>
      <c r="F101" s="26" t="s">
        <v>1013</v>
      </c>
      <c r="G101" s="26" t="s">
        <v>140</v>
      </c>
      <c r="H101" s="26" t="s">
        <v>535</v>
      </c>
      <c r="I101" s="26" t="s">
        <v>79</v>
      </c>
      <c r="J101" s="26" t="s">
        <v>80</v>
      </c>
      <c r="K101" s="26" t="s">
        <v>29</v>
      </c>
      <c r="L101" s="26" t="s">
        <v>14</v>
      </c>
      <c r="M101" s="26" t="s">
        <v>1014</v>
      </c>
    </row>
  </sheetData>
  <autoFilter ref="A5:M101"/>
  <conditionalFormatting sqref="L6:L301">
    <cfRule type="expression" priority="2" aboveAverage="0" equalAverage="0" bottom="0" percent="0" rank="0" text="" dxfId="11">
      <formula>$L6="Verificado"</formula>
    </cfRule>
    <cfRule type="expression" priority="3" aboveAverage="0" equalAverage="0" bottom="0" percent="0" rank="0" text="" dxfId="12">
      <formula>$L6="Confirmar"</formula>
    </cfRule>
    <cfRule type="expression" priority="4" aboveAverage="0" equalAverage="0" bottom="0" percent="0" rank="0" text="" dxfId="13">
      <formula>$L6="A mapear"</formula>
    </cfRule>
    <cfRule type="expression" priority="5" aboveAverage="0" equalAverage="0" bottom="0" percent="0" rank="0" text="" dxfId="14">
      <formula>$L6="Sem API"</formula>
    </cfRule>
    <cfRule type="expression" priority="6" aboveAverage="0" equalAverage="0" bottom="0" percent="0" rank="0" text="" dxfId="15">
      <formula>$L6="Pago"</formula>
    </cfRule>
    <cfRule type="expression" priority="7" aboveAverage="0" equalAverage="0" bottom="0" percent="0" rank="0" text="" dxfId="16">
      <formula>$L6="Derivado"</formula>
    </cfRule>
    <cfRule type="expression" priority="8" aboveAverage="0" equalAverage="0" bottom="0" percent="0" rank="0" text="" dxfId="17">
      <formula>$L6="Curado"</formula>
    </cfRule>
  </conditionalFormatting>
  <conditionalFormatting sqref="K6:K301">
    <cfRule type="expression" priority="9" aboveAverage="0" equalAverage="0" bottom="0" percent="0" rank="0" text="" dxfId="18">
      <formula>$K6="MVP"</formula>
    </cfRule>
  </conditionalFormatting>
  <dataValidations count="2">
    <dataValidation allowBlank="true" errorStyle="stop" operator="between" showDropDown="false" showErrorMessage="false" showInputMessage="false" sqref="K6:K301" type="list">
      <formula1>"MVP,EUA,v2,v3"</formula1>
      <formula2>0</formula2>
    </dataValidation>
    <dataValidation allowBlank="true" errorStyle="stop" operator="between" showDropDown="false" showErrorMessage="false" showInputMessage="false" sqref="L6:L301" type="list">
      <formula1>"Verificado,Confirmar,A mapear,Sem API,Pago,Derivado,Curado"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60"/>
    <col collapsed="false" customWidth="true" hidden="false" outlineLevel="0" max="4" min="4" style="0" width="36"/>
    <col collapsed="false" customWidth="true" hidden="false" outlineLevel="0" max="5" min="5" style="0" width="8"/>
    <col collapsed="false" customWidth="true" hidden="false" outlineLevel="0" max="6" min="6" style="0" width="46"/>
  </cols>
  <sheetData>
    <row r="1" customFormat="false" ht="25.5" hidden="false" customHeight="true" outlineLevel="0" collapsed="false">
      <c r="A1" s="1" t="s">
        <v>1015</v>
      </c>
    </row>
    <row r="2" customFormat="false" ht="15" hidden="false" customHeight="false" outlineLevel="0" collapsed="false">
      <c r="A2" s="2" t="s">
        <v>1016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</row>
    <row r="5" customFormat="false" ht="27.75" hidden="false" customHeight="true" outlineLevel="0" collapsed="false">
      <c r="A5" s="24" t="s">
        <v>65</v>
      </c>
      <c r="B5" s="24" t="s">
        <v>1017</v>
      </c>
      <c r="C5" s="24" t="s">
        <v>1018</v>
      </c>
      <c r="D5" s="24" t="s">
        <v>67</v>
      </c>
      <c r="E5" s="24" t="s">
        <v>26</v>
      </c>
      <c r="F5" s="24" t="s">
        <v>72</v>
      </c>
    </row>
    <row r="6" customFormat="false" ht="15" hidden="false" customHeight="false" outlineLevel="0" collapsed="false">
      <c r="A6" s="26" t="s">
        <v>1019</v>
      </c>
      <c r="B6" s="26" t="s">
        <v>1020</v>
      </c>
      <c r="C6" s="26" t="s">
        <v>1021</v>
      </c>
      <c r="D6" s="26" t="s">
        <v>1022</v>
      </c>
      <c r="E6" s="26" t="s">
        <v>27</v>
      </c>
      <c r="F6" s="26" t="s">
        <v>1023</v>
      </c>
    </row>
    <row r="7" customFormat="false" ht="23.85" hidden="false" customHeight="false" outlineLevel="0" collapsed="false">
      <c r="A7" s="26" t="s">
        <v>1024</v>
      </c>
      <c r="B7" s="26" t="s">
        <v>1025</v>
      </c>
      <c r="C7" s="26" t="s">
        <v>1026</v>
      </c>
      <c r="D7" s="26" t="s">
        <v>1027</v>
      </c>
      <c r="E7" s="26" t="s">
        <v>27</v>
      </c>
      <c r="F7" s="26" t="s">
        <v>1028</v>
      </c>
    </row>
    <row r="8" customFormat="false" ht="15" hidden="false" customHeight="false" outlineLevel="0" collapsed="false">
      <c r="A8" s="26" t="s">
        <v>1024</v>
      </c>
      <c r="B8" s="26" t="s">
        <v>1029</v>
      </c>
      <c r="C8" s="26" t="s">
        <v>1030</v>
      </c>
      <c r="D8" s="26" t="s">
        <v>1031</v>
      </c>
      <c r="E8" s="26" t="s">
        <v>29</v>
      </c>
      <c r="F8" s="26"/>
    </row>
    <row r="9" customFormat="false" ht="23.85" hidden="false" customHeight="false" outlineLevel="0" collapsed="false">
      <c r="A9" s="26" t="s">
        <v>1032</v>
      </c>
      <c r="B9" s="26" t="s">
        <v>1033</v>
      </c>
      <c r="C9" s="26" t="s">
        <v>1034</v>
      </c>
      <c r="D9" s="26" t="s">
        <v>1035</v>
      </c>
      <c r="E9" s="26" t="s">
        <v>27</v>
      </c>
      <c r="F9" s="26" t="s">
        <v>1036</v>
      </c>
    </row>
    <row r="10" customFormat="false" ht="15" hidden="false" customHeight="false" outlineLevel="0" collapsed="false">
      <c r="A10" s="26" t="s">
        <v>1037</v>
      </c>
      <c r="B10" s="26" t="s">
        <v>1038</v>
      </c>
      <c r="C10" s="26" t="s">
        <v>1039</v>
      </c>
      <c r="D10" s="26" t="s">
        <v>22</v>
      </c>
      <c r="E10" s="26" t="s">
        <v>27</v>
      </c>
      <c r="F10" s="26" t="s">
        <v>1040</v>
      </c>
    </row>
    <row r="11" customFormat="false" ht="15" hidden="false" customHeight="false" outlineLevel="0" collapsed="false">
      <c r="A11" s="26" t="s">
        <v>1041</v>
      </c>
      <c r="B11" s="26" t="s">
        <v>1042</v>
      </c>
      <c r="C11" s="26" t="s">
        <v>1043</v>
      </c>
      <c r="D11" s="26" t="s">
        <v>1044</v>
      </c>
      <c r="E11" s="26" t="s">
        <v>27</v>
      </c>
      <c r="F11" s="26" t="s">
        <v>1045</v>
      </c>
    </row>
    <row r="12" customFormat="false" ht="23.85" hidden="false" customHeight="false" outlineLevel="0" collapsed="false">
      <c r="A12" s="26" t="s">
        <v>1041</v>
      </c>
      <c r="B12" s="26" t="s">
        <v>1046</v>
      </c>
      <c r="C12" s="26" t="s">
        <v>1047</v>
      </c>
      <c r="D12" s="26" t="s">
        <v>1048</v>
      </c>
      <c r="E12" s="26" t="s">
        <v>27</v>
      </c>
      <c r="F12" s="26" t="s">
        <v>1049</v>
      </c>
    </row>
    <row r="13" customFormat="false" ht="15" hidden="false" customHeight="false" outlineLevel="0" collapsed="false">
      <c r="A13" s="26" t="s">
        <v>1041</v>
      </c>
      <c r="B13" s="26" t="s">
        <v>1050</v>
      </c>
      <c r="C13" s="26" t="s">
        <v>1051</v>
      </c>
      <c r="D13" s="26" t="s">
        <v>1052</v>
      </c>
      <c r="E13" s="26" t="s">
        <v>31</v>
      </c>
      <c r="F13" s="26"/>
    </row>
    <row r="14" customFormat="false" ht="15" hidden="false" customHeight="false" outlineLevel="0" collapsed="false">
      <c r="A14" s="26" t="s">
        <v>1041</v>
      </c>
      <c r="B14" s="26" t="s">
        <v>1053</v>
      </c>
      <c r="C14" s="26" t="s">
        <v>1054</v>
      </c>
      <c r="D14" s="26" t="s">
        <v>1055</v>
      </c>
      <c r="E14" s="26" t="s">
        <v>31</v>
      </c>
      <c r="F14" s="26" t="s">
        <v>1056</v>
      </c>
    </row>
    <row r="15" customFormat="false" ht="15" hidden="false" customHeight="false" outlineLevel="0" collapsed="false">
      <c r="A15" s="26" t="s">
        <v>1057</v>
      </c>
      <c r="B15" s="26" t="s">
        <v>1058</v>
      </c>
      <c r="C15" s="26" t="s">
        <v>1059</v>
      </c>
      <c r="D15" s="26" t="s">
        <v>1060</v>
      </c>
      <c r="E15" s="26" t="s">
        <v>27</v>
      </c>
      <c r="F15" s="26"/>
    </row>
    <row r="16" customFormat="false" ht="15" hidden="false" customHeight="false" outlineLevel="0" collapsed="false">
      <c r="A16" s="26" t="s">
        <v>1057</v>
      </c>
      <c r="B16" s="26" t="s">
        <v>1061</v>
      </c>
      <c r="C16" s="26" t="s">
        <v>1062</v>
      </c>
      <c r="D16" s="26" t="s">
        <v>1063</v>
      </c>
      <c r="E16" s="26" t="s">
        <v>31</v>
      </c>
      <c r="F16" s="26"/>
    </row>
    <row r="17" customFormat="false" ht="15" hidden="false" customHeight="false" outlineLevel="0" collapsed="false">
      <c r="A17" s="26" t="s">
        <v>1057</v>
      </c>
      <c r="B17" s="26" t="s">
        <v>1064</v>
      </c>
      <c r="C17" s="26" t="s">
        <v>1065</v>
      </c>
      <c r="D17" s="26" t="s">
        <v>1066</v>
      </c>
      <c r="E17" s="26" t="s">
        <v>33</v>
      </c>
      <c r="F17" s="26"/>
    </row>
  </sheetData>
  <autoFilter ref="A5:F17"/>
  <dataValidations count="1">
    <dataValidation allowBlank="true" errorStyle="stop" operator="between" showDropDown="false" showErrorMessage="false" showInputMessage="false" sqref="E6:E100" type="list">
      <formula1>"MVP,EUA,v2,v3"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56"/>
    <col collapsed="false" customWidth="true" hidden="false" outlineLevel="0" max="5" min="5" style="0" width="13"/>
    <col collapsed="false" customWidth="true" hidden="false" outlineLevel="0" max="6" min="6" style="0" width="14"/>
  </cols>
  <sheetData>
    <row r="1" customFormat="false" ht="25.5" hidden="false" customHeight="true" outlineLevel="0" collapsed="false">
      <c r="A1" s="1" t="s">
        <v>1067</v>
      </c>
    </row>
    <row r="2" customFormat="false" ht="15" hidden="false" customHeight="false" outlineLevel="0" collapsed="false">
      <c r="A2" s="2" t="s">
        <v>1068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</row>
    <row r="5" customFormat="false" ht="27.75" hidden="false" customHeight="true" outlineLevel="0" collapsed="false">
      <c r="A5" s="24" t="s">
        <v>67</v>
      </c>
      <c r="B5" s="24" t="s">
        <v>1069</v>
      </c>
      <c r="C5" s="24" t="s">
        <v>1070</v>
      </c>
      <c r="D5" s="24" t="s">
        <v>1071</v>
      </c>
      <c r="E5" s="24" t="s">
        <v>1072</v>
      </c>
      <c r="F5" s="24" t="s">
        <v>1073</v>
      </c>
    </row>
    <row r="6" customFormat="false" ht="15" hidden="false" customHeight="false" outlineLevel="0" collapsed="false">
      <c r="A6" s="26" t="s">
        <v>98</v>
      </c>
      <c r="B6" s="26" t="s">
        <v>1074</v>
      </c>
      <c r="C6" s="26" t="s">
        <v>1075</v>
      </c>
      <c r="D6" s="26" t="s">
        <v>1076</v>
      </c>
      <c r="E6" s="28" t="s">
        <v>1077</v>
      </c>
      <c r="F6" s="26" t="s">
        <v>1078</v>
      </c>
    </row>
    <row r="7" customFormat="false" ht="15" hidden="false" customHeight="false" outlineLevel="0" collapsed="false">
      <c r="A7" s="26" t="s">
        <v>1079</v>
      </c>
      <c r="B7" s="26" t="s">
        <v>1080</v>
      </c>
      <c r="C7" s="26" t="s">
        <v>1075</v>
      </c>
      <c r="D7" s="26" t="s">
        <v>1081</v>
      </c>
      <c r="E7" s="28" t="s">
        <v>1077</v>
      </c>
      <c r="F7" s="26" t="s">
        <v>1078</v>
      </c>
    </row>
    <row r="8" customFormat="false" ht="15" hidden="false" customHeight="false" outlineLevel="0" collapsed="false">
      <c r="A8" s="26" t="s">
        <v>1082</v>
      </c>
      <c r="B8" s="26" t="s">
        <v>1083</v>
      </c>
      <c r="C8" s="26" t="s">
        <v>1075</v>
      </c>
      <c r="D8" s="26" t="s">
        <v>1084</v>
      </c>
      <c r="E8" s="28" t="s">
        <v>1077</v>
      </c>
      <c r="F8" s="26" t="s">
        <v>1078</v>
      </c>
    </row>
    <row r="9" customFormat="false" ht="15" hidden="false" customHeight="false" outlineLevel="0" collapsed="false">
      <c r="A9" s="26" t="s">
        <v>76</v>
      </c>
      <c r="B9" s="26" t="s">
        <v>1085</v>
      </c>
      <c r="C9" s="26" t="s">
        <v>1075</v>
      </c>
      <c r="D9" s="26" t="s">
        <v>1086</v>
      </c>
      <c r="E9" s="28" t="s">
        <v>1077</v>
      </c>
      <c r="F9" s="26" t="s">
        <v>1078</v>
      </c>
    </row>
    <row r="10" customFormat="false" ht="15" hidden="false" customHeight="false" outlineLevel="0" collapsed="false">
      <c r="A10" s="26" t="s">
        <v>1087</v>
      </c>
      <c r="B10" s="26" t="s">
        <v>1088</v>
      </c>
      <c r="C10" s="26" t="s">
        <v>1075</v>
      </c>
      <c r="D10" s="26" t="s">
        <v>1089</v>
      </c>
      <c r="E10" s="29" t="s">
        <v>1090</v>
      </c>
      <c r="F10" s="26" t="s">
        <v>1078</v>
      </c>
    </row>
    <row r="11" customFormat="false" ht="15" hidden="false" customHeight="false" outlineLevel="0" collapsed="false">
      <c r="A11" s="26" t="s">
        <v>425</v>
      </c>
      <c r="B11" s="26" t="s">
        <v>1091</v>
      </c>
      <c r="C11" s="26" t="s">
        <v>1075</v>
      </c>
      <c r="D11" s="26" t="s">
        <v>1092</v>
      </c>
      <c r="E11" s="28" t="s">
        <v>1077</v>
      </c>
      <c r="F11" s="26" t="s">
        <v>1078</v>
      </c>
    </row>
    <row r="12" customFormat="false" ht="15" hidden="false" customHeight="false" outlineLevel="0" collapsed="false">
      <c r="A12" s="26" t="s">
        <v>291</v>
      </c>
      <c r="B12" s="26" t="s">
        <v>1093</v>
      </c>
      <c r="C12" s="26" t="s">
        <v>1075</v>
      </c>
      <c r="D12" s="26" t="s">
        <v>1094</v>
      </c>
      <c r="E12" s="28" t="s">
        <v>1077</v>
      </c>
      <c r="F12" s="26" t="s">
        <v>1078</v>
      </c>
    </row>
    <row r="13" customFormat="false" ht="15" hidden="false" customHeight="false" outlineLevel="0" collapsed="false">
      <c r="A13" s="26" t="s">
        <v>548</v>
      </c>
      <c r="B13" s="26" t="s">
        <v>1080</v>
      </c>
      <c r="C13" s="26" t="s">
        <v>1075</v>
      </c>
      <c r="D13" s="26" t="s">
        <v>1095</v>
      </c>
      <c r="E13" s="28" t="s">
        <v>1077</v>
      </c>
      <c r="F13" s="26" t="s">
        <v>1078</v>
      </c>
    </row>
    <row r="14" customFormat="false" ht="15" hidden="false" customHeight="false" outlineLevel="0" collapsed="false">
      <c r="A14" s="26" t="s">
        <v>1096</v>
      </c>
      <c r="B14" s="26" t="s">
        <v>1091</v>
      </c>
      <c r="C14" s="26" t="s">
        <v>1075</v>
      </c>
      <c r="D14" s="26" t="s">
        <v>124</v>
      </c>
      <c r="E14" s="29" t="s">
        <v>1090</v>
      </c>
      <c r="F14" s="26" t="s">
        <v>1078</v>
      </c>
    </row>
    <row r="15" customFormat="false" ht="15" hidden="false" customHeight="false" outlineLevel="0" collapsed="false">
      <c r="A15" s="26" t="s">
        <v>572</v>
      </c>
      <c r="B15" s="26" t="s">
        <v>573</v>
      </c>
      <c r="C15" s="26" t="s">
        <v>1075</v>
      </c>
      <c r="D15" s="26" t="s">
        <v>1097</v>
      </c>
      <c r="E15" s="29" t="s">
        <v>1090</v>
      </c>
      <c r="F15" s="26" t="s">
        <v>1078</v>
      </c>
    </row>
    <row r="16" customFormat="false" ht="23.85" hidden="false" customHeight="false" outlineLevel="0" collapsed="false">
      <c r="A16" s="26" t="s">
        <v>1098</v>
      </c>
      <c r="B16" s="26" t="s">
        <v>1099</v>
      </c>
      <c r="C16" s="26" t="s">
        <v>1100</v>
      </c>
      <c r="D16" s="26" t="s">
        <v>1101</v>
      </c>
      <c r="E16" s="30" t="s">
        <v>1102</v>
      </c>
      <c r="F16" s="26" t="s">
        <v>1103</v>
      </c>
    </row>
    <row r="17" customFormat="false" ht="15" hidden="false" customHeight="false" outlineLevel="0" collapsed="false">
      <c r="A17" s="26" t="s">
        <v>1104</v>
      </c>
      <c r="B17" s="26" t="s">
        <v>1091</v>
      </c>
      <c r="C17" s="26" t="s">
        <v>1105</v>
      </c>
      <c r="D17" s="26" t="s">
        <v>1106</v>
      </c>
      <c r="E17" s="29" t="s">
        <v>1090</v>
      </c>
      <c r="F17" s="26" t="s">
        <v>1078</v>
      </c>
    </row>
    <row r="18" customFormat="false" ht="15" hidden="false" customHeight="false" outlineLevel="0" collapsed="false">
      <c r="A18" s="26" t="s">
        <v>1107</v>
      </c>
      <c r="B18" s="26" t="s">
        <v>1091</v>
      </c>
      <c r="C18" s="26" t="s">
        <v>1105</v>
      </c>
      <c r="D18" s="26" t="s">
        <v>1108</v>
      </c>
      <c r="E18" s="29" t="s">
        <v>1090</v>
      </c>
      <c r="F18" s="26" t="s">
        <v>1078</v>
      </c>
    </row>
    <row r="19" customFormat="false" ht="15" hidden="false" customHeight="false" outlineLevel="0" collapsed="false">
      <c r="A19" s="26" t="s">
        <v>1109</v>
      </c>
      <c r="B19" s="26" t="s">
        <v>1091</v>
      </c>
      <c r="C19" s="26" t="s">
        <v>1110</v>
      </c>
      <c r="D19" s="26" t="s">
        <v>1111</v>
      </c>
      <c r="E19" s="29" t="s">
        <v>1090</v>
      </c>
      <c r="F19" s="26" t="s">
        <v>1103</v>
      </c>
    </row>
    <row r="20" customFormat="false" ht="15" hidden="false" customHeight="false" outlineLevel="0" collapsed="false">
      <c r="A20" s="26" t="s">
        <v>1112</v>
      </c>
      <c r="B20" s="26" t="s">
        <v>1091</v>
      </c>
      <c r="C20" s="26" t="s">
        <v>1075</v>
      </c>
      <c r="D20" s="26" t="s">
        <v>1113</v>
      </c>
      <c r="E20" s="28" t="s">
        <v>1077</v>
      </c>
      <c r="F20" s="26" t="s">
        <v>1078</v>
      </c>
    </row>
    <row r="21" customFormat="false" ht="15" hidden="false" customHeight="false" outlineLevel="0" collapsed="false">
      <c r="A21" s="26" t="s">
        <v>1114</v>
      </c>
      <c r="B21" s="26" t="s">
        <v>1115</v>
      </c>
      <c r="C21" s="26" t="s">
        <v>1075</v>
      </c>
      <c r="D21" s="26" t="s">
        <v>1116</v>
      </c>
      <c r="E21" s="29" t="s">
        <v>1090</v>
      </c>
      <c r="F21" s="26" t="s">
        <v>1078</v>
      </c>
    </row>
    <row r="22" customFormat="false" ht="15" hidden="false" customHeight="false" outlineLevel="0" collapsed="false">
      <c r="A22" s="26" t="s">
        <v>1117</v>
      </c>
      <c r="B22" s="26" t="s">
        <v>1091</v>
      </c>
      <c r="C22" s="26" t="s">
        <v>1110</v>
      </c>
      <c r="D22" s="26" t="s">
        <v>1118</v>
      </c>
      <c r="E22" s="29" t="s">
        <v>1090</v>
      </c>
      <c r="F22" s="26" t="s">
        <v>1119</v>
      </c>
    </row>
  </sheetData>
  <autoFilter ref="A5:F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2026-10-04T04:00:17Z</dcterms:created>
  <dc:creator>openpyxl</dc:creator>
  <dc:description/>
  <dc:language>en-US</dc:language>
  <cp:lastModifiedBy/>
  <dcterms:modified xsi:type="dcterms:W3CDTF">2026-10-04T04:00:17Z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